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opacz\CMR-formularz\"/>
    </mc:Choice>
  </mc:AlternateContent>
  <xr:revisionPtr revIDLastSave="0" documentId="13_ncr:1_{9B8966F8-38AA-420B-A64C-367DE95A61ED}" xr6:coauthVersionLast="47" xr6:coauthVersionMax="47" xr10:uidLastSave="{00000000-0000-0000-0000-000000000000}"/>
  <bookViews>
    <workbookView xWindow="-120" yWindow="-120" windowWidth="29040" windowHeight="15720" tabRatio="937" firstSheet="1" activeTab="3" xr2:uid="{00000000-000D-0000-FFFF-FFFF00000000}"/>
  </bookViews>
  <sheets>
    <sheet name="CSV PINK ACOUNTING" sheetId="28" r:id="rId1"/>
    <sheet name="LISTA TRASEK" sheetId="25" r:id="rId2"/>
    <sheet name="FILTRUJ" sheetId="26" r:id="rId3"/>
    <sheet name="FZ0296S -PAVLO LAIUK " sheetId="27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7" l="1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V7" i="27"/>
  <c r="V8" i="27"/>
  <c r="V9" i="27"/>
  <c r="V10" i="27"/>
  <c r="V11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L27" i="27"/>
  <c r="K26" i="27"/>
  <c r="J26" i="27"/>
  <c r="H26" i="27"/>
  <c r="L28" i="27" s="1"/>
  <c r="G26" i="27"/>
  <c r="F26" i="27"/>
  <c r="O24" i="27"/>
  <c r="L24" i="27"/>
  <c r="O23" i="27"/>
  <c r="L23" i="27"/>
  <c r="O22" i="27"/>
  <c r="L22" i="27"/>
  <c r="O21" i="27"/>
  <c r="L21" i="27"/>
  <c r="O20" i="27"/>
  <c r="L20" i="27"/>
  <c r="O19" i="27"/>
  <c r="L19" i="27"/>
  <c r="O18" i="27"/>
  <c r="L18" i="27"/>
  <c r="O17" i="27"/>
  <c r="L17" i="27"/>
  <c r="O16" i="27"/>
  <c r="L16" i="27"/>
  <c r="O15" i="27"/>
  <c r="L15" i="27"/>
  <c r="O14" i="27"/>
  <c r="L14" i="27"/>
  <c r="O13" i="27"/>
  <c r="L13" i="27"/>
  <c r="O12" i="27"/>
  <c r="L12" i="27"/>
  <c r="O11" i="27"/>
  <c r="L11" i="27"/>
  <c r="O10" i="27"/>
  <c r="L10" i="27"/>
  <c r="O9" i="27"/>
  <c r="L9" i="27"/>
  <c r="O8" i="27"/>
  <c r="L8" i="27"/>
  <c r="O7" i="27"/>
  <c r="L7" i="27"/>
  <c r="O6" i="27"/>
  <c r="L6" i="27"/>
  <c r="O5" i="27"/>
  <c r="L5" i="27"/>
  <c r="I26" i="27" s="1"/>
  <c r="O4" i="27"/>
  <c r="L4" i="27"/>
  <c r="O3" i="27"/>
  <c r="L3" i="27"/>
  <c r="BS2" i="26" a="1"/>
  <c r="C6" i="27" s="1"/>
  <c r="BI2" i="26" a="1"/>
  <c r="BI2" i="26" s="1"/>
  <c r="AY2" i="26" a="1"/>
  <c r="AY2" i="26" s="1"/>
  <c r="AO2" i="26" a="1"/>
  <c r="AO2" i="26" s="1"/>
  <c r="AE2" i="26" a="1"/>
  <c r="AE2" i="26" s="1"/>
  <c r="U2" i="26" a="1"/>
  <c r="U2" i="26" s="1"/>
  <c r="K2" i="26" a="1"/>
  <c r="K2" i="26" s="1"/>
  <c r="A2" i="26" a="1"/>
  <c r="A2" i="26" s="1"/>
  <c r="A6" i="27" l="1"/>
  <c r="V6" i="27"/>
  <c r="E6" i="27"/>
  <c r="U6" i="27"/>
  <c r="B6" i="27"/>
  <c r="N6" i="27"/>
  <c r="G6" i="27"/>
  <c r="F6" i="27"/>
  <c r="D6" i="27"/>
  <c r="V5" i="27"/>
  <c r="C3" i="27"/>
  <c r="C4" i="27"/>
  <c r="C5" i="27"/>
  <c r="N5" i="27"/>
  <c r="N4" i="27"/>
  <c r="N3" i="27"/>
  <c r="D5" i="27"/>
  <c r="G5" i="27"/>
  <c r="U5" i="27"/>
  <c r="F5" i="27"/>
  <c r="B5" i="27"/>
  <c r="E5" i="27"/>
  <c r="A5" i="27"/>
  <c r="V3" i="27"/>
  <c r="V4" i="27"/>
  <c r="F4" i="27"/>
  <c r="B4" i="27"/>
  <c r="G4" i="27"/>
  <c r="U4" i="27"/>
  <c r="D4" i="27"/>
  <c r="A4" i="27"/>
  <c r="E4" i="27"/>
  <c r="F3" i="27"/>
  <c r="B3" i="27"/>
  <c r="G3" i="27"/>
  <c r="U3" i="27"/>
  <c r="E3" i="27"/>
  <c r="D3" i="27"/>
  <c r="BS2" i="26"/>
  <c r="A3" i="2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<sst xmlns="http://schemas.openxmlformats.org/spreadsheetml/2006/main" count="386" uniqueCount="215">
  <si>
    <t>SYSTEM MASTERS PINK ACOUNTING</t>
  </si>
  <si>
    <t>KRAJE EKSPORT STAWKA 0% VAT</t>
  </si>
  <si>
    <t xml:space="preserve">KRAJ </t>
  </si>
  <si>
    <t>PREFEKS</t>
  </si>
  <si>
    <t xml:space="preserve">STAWKA VAT </t>
  </si>
  <si>
    <t>NIP</t>
  </si>
  <si>
    <t>NUMER ZLECENIA</t>
  </si>
  <si>
    <t>NUMER SAMOCHODU</t>
  </si>
  <si>
    <t>ADRES ROZŁADUNKU</t>
  </si>
  <si>
    <t>DATA ROZŁADUNKU</t>
  </si>
  <si>
    <t>KWOTA NETTO</t>
  </si>
  <si>
    <t>TERMIN PŁATNOŚCI</t>
  </si>
  <si>
    <t>VAT</t>
  </si>
  <si>
    <t>Albania</t>
  </si>
  <si>
    <t>AL</t>
  </si>
  <si>
    <t>Andora</t>
  </si>
  <si>
    <t>AD</t>
  </si>
  <si>
    <t>Armenia</t>
  </si>
  <si>
    <t>AM</t>
  </si>
  <si>
    <t>Azerbejdżan</t>
  </si>
  <si>
    <t>AZ</t>
  </si>
  <si>
    <t>Bośnia i Hercegowina</t>
  </si>
  <si>
    <t>BA</t>
  </si>
  <si>
    <t>Czarnogóra</t>
  </si>
  <si>
    <t>ME</t>
  </si>
  <si>
    <t>Gruzja</t>
  </si>
  <si>
    <t>GE</t>
  </si>
  <si>
    <t>Islandia</t>
  </si>
  <si>
    <t>IS</t>
  </si>
  <si>
    <t>Kosowo</t>
  </si>
  <si>
    <t>XK</t>
  </si>
  <si>
    <t>Liechtenstein</t>
  </si>
  <si>
    <t>LI</t>
  </si>
  <si>
    <t>Macedonia Północna</t>
  </si>
  <si>
    <t>MK</t>
  </si>
  <si>
    <t>Mołdawia</t>
  </si>
  <si>
    <t>MD</t>
  </si>
  <si>
    <t>Monako</t>
  </si>
  <si>
    <t>MC</t>
  </si>
  <si>
    <t>Norwegia</t>
  </si>
  <si>
    <t>NO</t>
  </si>
  <si>
    <t>San Marino</t>
  </si>
  <si>
    <t>SM</t>
  </si>
  <si>
    <t>Serbia</t>
  </si>
  <si>
    <t>RS</t>
  </si>
  <si>
    <t>Szwajcaria</t>
  </si>
  <si>
    <t>CH</t>
  </si>
  <si>
    <t>Turcja</t>
  </si>
  <si>
    <t>TR</t>
  </si>
  <si>
    <t>Ukraina</t>
  </si>
  <si>
    <t>UA</t>
  </si>
  <si>
    <t>Watykan</t>
  </si>
  <si>
    <t>VA</t>
  </si>
  <si>
    <t>Białoruś</t>
  </si>
  <si>
    <t>BY</t>
  </si>
  <si>
    <t>Rosja</t>
  </si>
  <si>
    <t>RU</t>
  </si>
  <si>
    <t>Wielka Brytania</t>
  </si>
  <si>
    <t>UK</t>
  </si>
  <si>
    <t>STYCZEŃ</t>
  </si>
  <si>
    <t>autko</t>
  </si>
  <si>
    <t>Data załadunku</t>
  </si>
  <si>
    <t>adres załadunku</t>
  </si>
  <si>
    <t>traska</t>
  </si>
  <si>
    <t>data rozładunku</t>
  </si>
  <si>
    <t>miejsce rozładunku</t>
  </si>
  <si>
    <t>JPG HOTEL FV</t>
  </si>
  <si>
    <t>DOKUMENTY JPG</t>
  </si>
  <si>
    <t>KRAJ ROZŁADUNKU</t>
  </si>
  <si>
    <t>KRAJ</t>
  </si>
  <si>
    <t>SYMBOL</t>
  </si>
  <si>
    <t>FZ0691T</t>
  </si>
  <si>
    <t>03.01.2025</t>
  </si>
  <si>
    <t>Miasto: Słubice
Kod pocztowy: 69-100
Kraj: Polska</t>
  </si>
  <si>
    <t>69-100 - 85586</t>
  </si>
  <si>
    <t>04.01.2025</t>
  </si>
  <si>
    <t>Miasto: Poing
Kod pocztowy: 85586
Kraj: Niemcy</t>
  </si>
  <si>
    <t>https://www.jotform.com/uploads/OliwiaPaczkowska/243251272684356/6120520429819742307/Zdj%C4%99cie%20WhatsApp%202025-01-04%20o%2007.54.31_39aae145.jpg</t>
  </si>
  <si>
    <t>Niemcy</t>
  </si>
  <si>
    <t>05.01.2025</t>
  </si>
  <si>
    <t>Miasto: Freising_x000D_
Kod pocztowy: 85356_x000D_
Kraj: Niemcy</t>
  </si>
  <si>
    <t>85356_x000D_ - 8424_x000D_</t>
  </si>
  <si>
    <t>06.01.2025</t>
  </si>
  <si>
    <t>Miasto: Embrach_x000D_
Kod pocztowy: 8424_x000D_
Kraj: Szwajcaria</t>
  </si>
  <si>
    <t>https://www.jotform.com/uploads/OliwiaPaczkowska/243251272684356/6120524929812072777/Zdj%C4%99cie%20WhatsApp%202025-01-06%20o%2011.02.22_470326ff.jpg</t>
  </si>
  <si>
    <t>Miasto: Saint Margrethen_x000D_
Kod pocztowy: 9430_x000D_
Kraj: Szwajcaria</t>
  </si>
  <si>
    <t>9430_x000D_ - 92637_x000D_</t>
  </si>
  <si>
    <t>07.01.2025</t>
  </si>
  <si>
    <t>Miasto: Weiden in der Oberpfalz_x000D_
Kod pocztowy: 92637_x000D_
Kraj: Niemcy</t>
  </si>
  <si>
    <t>https://www.jotform.com/uploads/OliwiaPaczkowska/243251272684356/6120526879819504062/Zdj%C4%99cie%20WhatsApp%202025-01-07%20o%2008.23.45_82054bf4.jpg
https://www.jotform.com/uploads/OliwiaPaczkowska/243251272684356/6120526879819504062/Zdj%C4%99cie%20WhatsApp%202025-01-07%20o%2009.28.30_6eec5fcb.jpg</t>
  </si>
  <si>
    <t>FZ0296S</t>
  </si>
  <si>
    <t>02.01.2025</t>
  </si>
  <si>
    <t>66-002_x000D_ - 8500_x000D_</t>
  </si>
  <si>
    <t>Austria</t>
  </si>
  <si>
    <t>AT</t>
  </si>
  <si>
    <t>FZ1936S</t>
  </si>
  <si>
    <t>31.12.2024</t>
  </si>
  <si>
    <t>Miasto: Eime_x000D_
Kod pocztowy: 31036_x000D_
Kraj: Niemcy</t>
  </si>
  <si>
    <t>31036_x000D_ - 95000_x000D_</t>
  </si>
  <si>
    <t>Miasto: Neuville-sur-Oise_x000D_
Kod pocztowy: 95000_x000D_
Kraj: Francja</t>
  </si>
  <si>
    <t>https://www.jotform.com/uploads/OliwiaPaczkowska/243251272684356/6120555019817591987/Zdj%C4%99cie%20WhatsApp%202024-12-31%20o%2013.46.12_bcd5a916.jpg</t>
  </si>
  <si>
    <t>Francja</t>
  </si>
  <si>
    <t>Belgia</t>
  </si>
  <si>
    <t>BE</t>
  </si>
  <si>
    <t>31.01.2025</t>
  </si>
  <si>
    <t>95000_x000D_ - 31036_x000D_</t>
  </si>
  <si>
    <t>https://www.jotform.com/uploads/OliwiaPaczkowska/243251272684356/6120556759815198730/Zdj%C4%99cie%20WhatsApp%202025-01-02%20o%2009.07.35_86bc2e6b.jpg</t>
  </si>
  <si>
    <t>https://www.jotform.com/uploads/OliwiaPaczkowska/243251272684356/6120558009816240190/Zdj%C4%99cie%20WhatsApp%202025-01-03%20o%2014.39.15_b9322715.jpg</t>
  </si>
  <si>
    <t>Bułgaria</t>
  </si>
  <si>
    <t>BG</t>
  </si>
  <si>
    <t>https://www.jotform.com/uploads/OliwiaPaczkowska/243251272684356/6120558859819819671/Zdj%C4%99cie%20WhatsApp%202025-01-06%20o%2008.40.21_9d58a5b5.jpg</t>
  </si>
  <si>
    <t>Chorwacja</t>
  </si>
  <si>
    <t>HR</t>
  </si>
  <si>
    <t>Miasto: Widnau_x000D_
Kod pocztowy: 9443_x000D_
Kraj: Szwajcaria</t>
  </si>
  <si>
    <t>9443_x000D_ - 3205_x000D_</t>
  </si>
  <si>
    <t>Miasto: Weinburg_x000D_
Kod pocztowy: 3205_x000D_
Kraj: Austria</t>
  </si>
  <si>
    <t>https://www.jotform.com/uploads/OliwiaPaczkowska/243251272684356/6120560169819776870/Zdj%C4%99cie%20WhatsApp%202025-01-07%20o%2010.27.11_3b3825f0.jpg</t>
  </si>
  <si>
    <t>Cypr</t>
  </si>
  <si>
    <t>CY</t>
  </si>
  <si>
    <t>FZ0692T</t>
  </si>
  <si>
    <t>30.12.2024</t>
  </si>
  <si>
    <t>Miasto: Kloten
Kod pocztowy: 8058
Kraj: Szwajcaria</t>
  </si>
  <si>
    <t>Miasto: Hamburg_x000D_
Kod pocztowy: 21079_x000D_
Kraj: Niemcy</t>
  </si>
  <si>
    <t>https://www.jotform.com/uploads/OliwiaPaczkowska/243251272684356/6120579039812173627/Zdj%C4%99cie%20WhatsApp%202024-12-30%20o%2011.23.44_c53fa6e7.jpg
https://www.jotform.com/uploads/OliwiaPaczkowska/243251272684356/6120579039812173627/Zdj%C4%99cie%20WhatsApp%202024-12-30%20o%2011.24.46_dbb48c59.jpg
https://www.jotform.com/uploads/OliwiaPaczkowska/243251272684356/6120579039812173627/Zdj%C4%99cie%20WhatsApp%202024-12-30%20o%2011.25.01_bb82a62b.jpg
https://www.jotform.com/uploads/OliwiaPaczkowska/243251272684356/6120579039812173627/Zdj%C4%99cie%20WhatsApp%202025-01-02%20o%2006.24.23_b5fb2d3c.jpg
https://www.jotform.com/uploads/OliwiaPaczkowska/243251272684356/6120579039812173627/Zdj%C4%99cie%20WhatsApp%202025-01-02%20o%2006.24.23_5ce3d793.jpg
https://www.jotform.com/uploads/OliwiaPaczkowska/243251272684356/6120579039812173627/Zdj%C4%99cie%20WhatsApp%202025-01-02%20o%2013.44.52_369b127c.jpg</t>
  </si>
  <si>
    <t>Czechy</t>
  </si>
  <si>
    <t>CZ</t>
  </si>
  <si>
    <t>WPR8503P</t>
  </si>
  <si>
    <t>Miasto: Zielona Góra_x000D_
Kod pocztowy: 66-002_x000D_
Kraj: Польша</t>
  </si>
  <si>
    <t>08.01.2025</t>
  </si>
  <si>
    <t>Miasto: Frauenfeld_x000D_
Kod pocztowy: 8500_x000D_
Kraj: Швейцария</t>
  </si>
  <si>
    <t>https://www.jotform.com/uploads/OliwiaPaczkowska/243251272684356/6121455991218391008/image.jpg</t>
  </si>
  <si>
    <t>Швейцария</t>
  </si>
  <si>
    <t>Dania</t>
  </si>
  <si>
    <t>DK</t>
  </si>
  <si>
    <t>Estonia</t>
  </si>
  <si>
    <t>EE</t>
  </si>
  <si>
    <t>Miasto: Pfungen_x000D_
Kod pocztowy: 8422_x000D_
Kraj: Швейцария</t>
  </si>
  <si>
    <t>8422_x000D_ - 66002</t>
  </si>
  <si>
    <t>09.01.2025</t>
  </si>
  <si>
    <t>Miasto: Zielona Góra
Kod pocztowy: 66002
Kraj: Польша</t>
  </si>
  <si>
    <t>https://www.jotform.com/uploads/OliwiaPaczkowska/243251272684356/6122352373213086605/image.jpg</t>
  </si>
  <si>
    <t>Польша</t>
  </si>
  <si>
    <t>Finlandia</t>
  </si>
  <si>
    <t>FI</t>
  </si>
  <si>
    <t>Miasto: Lengede_x000D_
Kod pocztowy: 38268_x000D_
Kraj: Niemcy</t>
  </si>
  <si>
    <t>38268_x000D_ - 78176_x000D_</t>
  </si>
  <si>
    <t>Miasto: Blumberg_x000D_
Kod pocztowy: 78176_x000D_
Kraj: Niemcy</t>
  </si>
  <si>
    <t>https://www.jotform.com/uploads/OliwiaPaczkowska/243251272684356/6122386449811395201/Zdj%C4%99cie%20WhatsApp%202025-01-07%20o%2010.27.11_f234faea.jpg</t>
  </si>
  <si>
    <t>FR</t>
  </si>
  <si>
    <t>https://www.jotform.com/uploads/OliwiaPaczkowska/243251272684356/6122388129812968618/Zdj%C4%99cie%20WhatsApp%202025-01-08%20o%2012.39.11_d7df3fe3.jpg</t>
  </si>
  <si>
    <t>Miasto: Zielona Góra_x000D_
Kod pocztowy: 66-015_x000D_
Kraj: Polska</t>
  </si>
  <si>
    <t>66-015_x000D_ - 44575_x000D_</t>
  </si>
  <si>
    <t>Miasto: Castrop-Rauxel_x000D_
Kod pocztowy: 44575_x000D_
Kraj: Niemcy</t>
  </si>
  <si>
    <t>https://www.jotform.com/uploads/OliwiaPaczkowska/243251272684356/6122389799812198055/Zdj%C4%99cie%20WhatsApp%202025-01-08%20o%2011.18.29_6e70f342.jpg
https://www.jotform.com/uploads/OliwiaPaczkowska/243251272684356/6122389799812198055/Zdj%C4%99cie%20WhatsApp%202025-01-08%20o%2011.18.48_537be2ac.jpg</t>
  </si>
  <si>
    <t>Holandia</t>
  </si>
  <si>
    <t>NL</t>
  </si>
  <si>
    <t>FZ0693T</t>
  </si>
  <si>
    <t>Miasto: Oosterhout
Kod pocztowy: 4906
Kraj: Holandia</t>
  </si>
  <si>
    <t>Miasto: Monachium_x000D_
Kod pocztowy: 80331_x000D_
Kraj: Niemcy</t>
  </si>
  <si>
    <t>https://www.jotform.com/uploads/OliwiaPaczkowska/243251272684356/6122391129812748871/Zdj%C4%99cie%20WhatsApp%202025-01-09%20o%2012.11.55_a5f0ca2c.jpg
https://www.jotform.com/uploads/OliwiaPaczkowska/243251272684356/6122391129812748871/Zdj%C4%99cie%20WhatsApp%202025-01-09%20o%2012.12.05_a6ba3ffb.jpg</t>
  </si>
  <si>
    <t>Irlandia</t>
  </si>
  <si>
    <t>IE</t>
  </si>
  <si>
    <t>Włochy</t>
  </si>
  <si>
    <t>IT</t>
  </si>
  <si>
    <t>Kazachstan</t>
  </si>
  <si>
    <t>KZ</t>
  </si>
  <si>
    <t>Łotwa</t>
  </si>
  <si>
    <t>LV</t>
  </si>
  <si>
    <t>Litwa</t>
  </si>
  <si>
    <t>LT</t>
  </si>
  <si>
    <t>Luksemburg</t>
  </si>
  <si>
    <t>LU</t>
  </si>
  <si>
    <t>Malta</t>
  </si>
  <si>
    <t>MT</t>
  </si>
  <si>
    <t>DE</t>
  </si>
  <si>
    <t>Portugalia</t>
  </si>
  <si>
    <t>PT</t>
  </si>
  <si>
    <t>Rumunia</t>
  </si>
  <si>
    <t>RO</t>
  </si>
  <si>
    <t>Słowacja</t>
  </si>
  <si>
    <t>SK</t>
  </si>
  <si>
    <t>Słowenia</t>
  </si>
  <si>
    <t>SI</t>
  </si>
  <si>
    <t>Hiszpania</t>
  </si>
  <si>
    <t>ES</t>
  </si>
  <si>
    <t>Szwecja</t>
  </si>
  <si>
    <t>SE</t>
  </si>
  <si>
    <t>Węgry</t>
  </si>
  <si>
    <t>HU</t>
  </si>
  <si>
    <t>GB</t>
  </si>
  <si>
    <t>Nr zlecenia</t>
  </si>
  <si>
    <t>AUTKO</t>
  </si>
  <si>
    <t>Data</t>
  </si>
  <si>
    <t>Trasa</t>
  </si>
  <si>
    <t>DATA ZAŁADUNKU</t>
  </si>
  <si>
    <t>ADRES ZAŁADUNKU</t>
  </si>
  <si>
    <t>ZLECENIE PDF</t>
  </si>
  <si>
    <t>Km planowane</t>
  </si>
  <si>
    <t>KWOTA ZLECENIA</t>
  </si>
  <si>
    <t>Stawka</t>
  </si>
  <si>
    <t>Hotele</t>
  </si>
  <si>
    <t>FAKTURA ZA  HOTEL</t>
  </si>
  <si>
    <t>Różnica</t>
  </si>
  <si>
    <t>Opłaty za drogi</t>
  </si>
  <si>
    <t>paliwo</t>
  </si>
  <si>
    <t>Faktura</t>
  </si>
  <si>
    <t xml:space="preserve">DATA WYSTAWIENIA </t>
  </si>
  <si>
    <t>DOKUMENTY CMR</t>
  </si>
  <si>
    <t>Reszta</t>
  </si>
  <si>
    <t>Wypłata</t>
  </si>
  <si>
    <t>Opłaty</t>
  </si>
  <si>
    <t>8058 - 21079_x000D_</t>
  </si>
  <si>
    <t>4906 - 80331_x000D_</t>
  </si>
  <si>
    <t>KILOMETRY</t>
  </si>
  <si>
    <t>FAKTURA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</si>
</sst>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"/>
    <numFmt numFmtId="165" formatCode="d\-mm;@"/>
  </numFmts>
  <fonts count="14">
    <font>
      <sz val="10"/>
      <color indexed="8"/>
      <name val="Helvetica Neue"/>
    </font>
    <font>
      <sz val="12"/>
      <color indexed="8"/>
      <name val="Helvetica Neue"/>
    </font>
    <font>
      <b/>
      <sz val="10"/>
      <color indexed="8"/>
      <name val="Helvetica Neue"/>
    </font>
    <font>
      <sz val="12"/>
      <color rgb="FF22798E"/>
      <name val="Candara"/>
    </font>
    <font>
      <b/>
      <sz val="14"/>
      <color indexed="8"/>
      <name val="Helvetica Neue"/>
    </font>
    <font>
      <sz val="14"/>
      <color theme="9" tint="-0.499984740745262"/>
      <name val="Aharoni"/>
      <charset val="177"/>
    </font>
    <font>
      <b/>
      <sz val="10"/>
      <color indexed="8"/>
      <name val="Helvetica Neue"/>
      <charset val="238"/>
    </font>
    <font>
      <sz val="12"/>
      <color indexed="8"/>
      <name val="Agency FB"/>
      <family val="2"/>
    </font>
    <font>
      <sz val="10"/>
      <color indexed="8"/>
      <name val="Arial"/>
      <family val="2"/>
      <charset val="238"/>
    </font>
    <font>
      <b/>
      <sz val="10"/>
      <color indexed="8"/>
      <name val="Arial"/>
      <family val="2"/>
      <charset val="238"/>
    </font>
    <font>
      <sz val="10"/>
      <color theme="1"/>
      <name val="Helvetica Neue"/>
    </font>
    <font>
      <sz val="12"/>
      <color rgb="FF22798E"/>
      <name val="Candara"/>
      <family val="2"/>
      <charset val="238"/>
    </font>
    <font>
      <sz val="12"/>
      <color rgb="FF0F5766"/>
      <name val="Candara"/>
      <family val="2"/>
      <charset val="238"/>
    </font>
    <font>
      <sz val="12"/>
      <color rgb="FF0F5766"/>
      <name val="Candara"/>
    </font>
  </fonts>
  <fills count="12">
    <fill>
      <patternFill patternType="none"/>
    </fill>
    <fill>
      <patternFill patternType="gray125"/>
    </fill>
    <fill>
      <patternFill patternType="solid">
        <fgColor indexed="14"/>
        <bgColor auto="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8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indexed="16"/>
      </left>
      <right style="thin">
        <color indexed="11"/>
      </right>
      <top style="thin">
        <color indexed="13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3"/>
      </top>
      <bottom style="thin">
        <color indexed="11"/>
      </bottom>
      <diagonal/>
    </border>
    <border>
      <left style="thin">
        <color indexed="17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3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6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3"/>
      </right>
      <top style="thin">
        <color indexed="11"/>
      </top>
      <bottom style="thin">
        <color indexed="11"/>
      </bottom>
      <diagonal/>
    </border>
    <border>
      <left style="medium">
        <color theme="4" tint="0.39997558519241921"/>
      </left>
      <right style="medium">
        <color theme="4" tint="0.39997558519241921"/>
      </right>
      <top/>
      <bottom style="medium">
        <color theme="4" tint="0.39997558519241921"/>
      </bottom>
      <diagonal/>
    </border>
    <border>
      <left style="medium">
        <color rgb="FF000000"/>
      </left>
      <right style="medium">
        <color theme="4" tint="0.39997558519241921"/>
      </right>
      <top style="medium">
        <color rgb="FF000000"/>
      </top>
      <bottom style="thin">
        <color rgb="FF000000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11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/>
      <top style="thin">
        <color indexed="13"/>
      </top>
      <bottom style="thin">
        <color indexed="11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/>
      <bottom style="thin">
        <color indexed="13"/>
      </bottom>
      <diagonal/>
    </border>
    <border>
      <left style="thin">
        <color indexed="11"/>
      </left>
      <right/>
      <top/>
      <bottom style="thin">
        <color indexed="13"/>
      </bottom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/>
      <right style="thin">
        <color indexed="17"/>
      </right>
      <top style="thin">
        <color rgb="FF000000"/>
      </top>
      <bottom style="thin">
        <color rgb="FF000000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11"/>
      </left>
      <right style="thin">
        <color indexed="13"/>
      </right>
      <top style="thin">
        <color indexed="11"/>
      </top>
      <bottom/>
      <diagonal/>
    </border>
    <border>
      <left style="thin">
        <color indexed="13"/>
      </left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/>
      <top style="thin">
        <color indexed="11"/>
      </top>
      <bottom/>
      <diagonal/>
    </border>
    <border>
      <left/>
      <right style="thin">
        <color indexed="11"/>
      </right>
      <top style="thin">
        <color indexed="11"/>
      </top>
      <bottom/>
      <diagonal/>
    </border>
    <border>
      <left style="thin">
        <color indexed="11"/>
      </left>
      <right style="thin">
        <color indexed="13"/>
      </right>
      <top style="thin">
        <color rgb="FF000000"/>
      </top>
      <bottom style="medium">
        <color rgb="FF000000"/>
      </bottom>
      <diagonal/>
    </border>
    <border>
      <left style="thin">
        <color indexed="13"/>
      </left>
      <right style="thin">
        <color indexed="11"/>
      </right>
      <top style="thin">
        <color rgb="FF000000"/>
      </top>
      <bottom style="medium">
        <color rgb="FF000000"/>
      </bottom>
      <diagonal/>
    </border>
    <border>
      <left style="thin">
        <color indexed="11"/>
      </left>
      <right style="thin">
        <color indexed="11"/>
      </right>
      <top style="thin">
        <color rgb="FF000000"/>
      </top>
      <bottom style="medium">
        <color rgb="FF000000"/>
      </bottom>
      <diagonal/>
    </border>
    <border>
      <left style="thin">
        <color indexed="11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indexed="11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indexed="11"/>
      </left>
      <right style="thin">
        <color indexed="13"/>
      </right>
      <top/>
      <bottom style="thin">
        <color indexed="11"/>
      </bottom>
      <diagonal/>
    </border>
    <border>
      <left style="thin">
        <color indexed="13"/>
      </left>
      <right style="thin">
        <color indexed="11"/>
      </right>
      <top/>
      <bottom style="thin">
        <color indexed="11"/>
      </bottom>
      <diagonal/>
    </border>
    <border>
      <left style="thin">
        <color indexed="11"/>
      </left>
      <right style="thin">
        <color indexed="11"/>
      </right>
      <top/>
      <bottom/>
      <diagonal/>
    </border>
    <border>
      <left/>
      <right style="thin">
        <color indexed="11"/>
      </right>
      <top/>
      <bottom style="thin">
        <color indexed="12"/>
      </bottom>
      <diagonal/>
    </border>
    <border>
      <left/>
      <right style="thin">
        <color indexed="16"/>
      </right>
      <top style="thin">
        <color rgb="FF000000"/>
      </top>
      <bottom style="thin">
        <color rgb="FF000000"/>
      </bottom>
      <diagonal/>
    </border>
    <border>
      <left/>
      <right style="thin">
        <color indexed="13"/>
      </right>
      <top style="thin">
        <color rgb="FF000000"/>
      </top>
      <bottom style="thin">
        <color rgb="FF000000"/>
      </bottom>
      <diagonal/>
    </border>
    <border>
      <left/>
      <right style="thin">
        <color indexed="16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9" tint="0.39997558519241921"/>
      </left>
      <right style="medium">
        <color theme="9" tint="0.39997558519241921"/>
      </right>
      <top style="medium">
        <color theme="9" tint="0.39997558519241921"/>
      </top>
      <bottom style="medium">
        <color theme="9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55">
    <xf numFmtId="0" fontId="0" fillId="0" borderId="0" xfId="0">
      <alignment vertical="top" wrapText="1"/>
    </xf>
    <xf numFmtId="0" fontId="0" fillId="0" borderId="0" xfId="0" applyNumberFormat="1">
      <alignment vertical="top" wrapText="1"/>
    </xf>
    <xf numFmtId="49" fontId="0" fillId="2" borderId="2" xfId="0" applyNumberFormat="1" applyFill="1" applyBorder="1">
      <alignment vertical="top" wrapText="1"/>
    </xf>
    <xf numFmtId="0" fontId="0" fillId="2" borderId="2" xfId="0" applyFill="1" applyBorder="1" applyAlignment="1">
      <alignment horizontal="right" vertical="top" wrapText="1"/>
    </xf>
    <xf numFmtId="2" fontId="0" fillId="2" borderId="2" xfId="0" applyNumberFormat="1" applyFill="1" applyBorder="1" applyAlignment="1">
      <alignment horizontal="right" vertical="top" wrapText="1"/>
    </xf>
    <xf numFmtId="0" fontId="0" fillId="2" borderId="2" xfId="0" applyNumberFormat="1" applyFill="1" applyBorder="1" applyAlignment="1">
      <alignment horizontal="right" vertical="top" wrapText="1"/>
    </xf>
    <xf numFmtId="0" fontId="0" fillId="2" borderId="4" xfId="0" applyFill="1" applyBorder="1">
      <alignment vertical="top" wrapText="1"/>
    </xf>
    <xf numFmtId="49" fontId="0" fillId="2" borderId="4" xfId="0" applyNumberFormat="1" applyFill="1" applyBorder="1">
      <alignment vertical="top" wrapText="1"/>
    </xf>
    <xf numFmtId="0" fontId="0" fillId="2" borderId="4" xfId="0" applyFill="1" applyBorder="1" applyAlignment="1">
      <alignment horizontal="right" vertical="top" wrapText="1"/>
    </xf>
    <xf numFmtId="2" fontId="0" fillId="2" borderId="4" xfId="0" applyNumberFormat="1" applyFill="1" applyBorder="1" applyAlignment="1">
      <alignment horizontal="right" vertical="top" wrapText="1"/>
    </xf>
    <xf numFmtId="0" fontId="0" fillId="2" borderId="4" xfId="0" applyNumberFormat="1" applyFill="1" applyBorder="1" applyAlignment="1">
      <alignment horizontal="right" vertical="top" wrapText="1"/>
    </xf>
    <xf numFmtId="0" fontId="0" fillId="2" borderId="5" xfId="0" applyFill="1" applyBorder="1">
      <alignment vertical="top" wrapText="1"/>
    </xf>
    <xf numFmtId="49" fontId="0" fillId="2" borderId="4" xfId="0" applyNumberFormat="1" applyFill="1" applyBorder="1" applyAlignment="1">
      <alignment horizontal="right" vertical="top" wrapText="1"/>
    </xf>
    <xf numFmtId="0" fontId="2" fillId="2" borderId="7" xfId="0" applyFont="1" applyFill="1" applyBorder="1">
      <alignment vertical="top" wrapText="1"/>
    </xf>
    <xf numFmtId="0" fontId="0" fillId="4" borderId="0" xfId="0" applyFill="1">
      <alignment vertical="top" wrapText="1"/>
    </xf>
    <xf numFmtId="14" fontId="0" fillId="2" borderId="1" xfId="0" applyNumberFormat="1" applyFill="1" applyBorder="1">
      <alignment vertical="top" wrapText="1"/>
    </xf>
    <xf numFmtId="0" fontId="3" fillId="3" borderId="9" xfId="0" applyFont="1" applyFill="1" applyBorder="1" applyAlignment="1">
      <alignment vertical="top"/>
    </xf>
    <xf numFmtId="0" fontId="3" fillId="3" borderId="10" xfId="0" applyFont="1" applyFill="1" applyBorder="1" applyAlignment="1">
      <alignment vertical="top"/>
    </xf>
    <xf numFmtId="0" fontId="0" fillId="0" borderId="11" xfId="0" applyBorder="1">
      <alignment vertical="top" wrapText="1"/>
    </xf>
    <xf numFmtId="0" fontId="0" fillId="0" borderId="12" xfId="0" applyBorder="1">
      <alignment vertical="top" wrapText="1"/>
    </xf>
    <xf numFmtId="0" fontId="0" fillId="0" borderId="13" xfId="0" applyBorder="1">
      <alignment vertical="top" wrapText="1"/>
    </xf>
    <xf numFmtId="165" fontId="0" fillId="0" borderId="13" xfId="0" applyNumberFormat="1" applyBorder="1">
      <alignment vertical="top" wrapText="1"/>
    </xf>
    <xf numFmtId="0" fontId="0" fillId="0" borderId="14" xfId="0" applyBorder="1">
      <alignment vertical="top" wrapText="1"/>
    </xf>
    <xf numFmtId="49" fontId="3" fillId="3" borderId="10" xfId="0" applyNumberFormat="1" applyFont="1" applyFill="1" applyBorder="1" applyAlignment="1">
      <alignment vertical="top"/>
    </xf>
    <xf numFmtId="49" fontId="0" fillId="0" borderId="13" xfId="0" applyNumberFormat="1" applyBorder="1">
      <alignment vertical="top" wrapText="1"/>
    </xf>
    <xf numFmtId="49" fontId="0" fillId="0" borderId="12" xfId="0" applyNumberFormat="1" applyBorder="1">
      <alignment vertical="top" wrapText="1"/>
    </xf>
    <xf numFmtId="49" fontId="0" fillId="0" borderId="14" xfId="0" applyNumberFormat="1" applyBorder="1">
      <alignment vertical="top" wrapText="1"/>
    </xf>
    <xf numFmtId="49" fontId="0" fillId="0" borderId="0" xfId="0" applyNumberFormat="1">
      <alignment vertical="top" wrapText="1"/>
    </xf>
    <xf numFmtId="0" fontId="0" fillId="2" borderId="15" xfId="0" applyFill="1" applyBorder="1">
      <alignment vertical="top" wrapText="1"/>
    </xf>
    <xf numFmtId="49" fontId="2" fillId="3" borderId="18" xfId="0" applyNumberFormat="1" applyFont="1" applyFill="1" applyBorder="1">
      <alignment vertical="top" wrapText="1"/>
    </xf>
    <xf numFmtId="49" fontId="2" fillId="3" borderId="19" xfId="0" applyNumberFormat="1" applyFont="1" applyFill="1" applyBorder="1">
      <alignment vertical="top" wrapText="1"/>
    </xf>
    <xf numFmtId="49" fontId="0" fillId="2" borderId="0" xfId="0" applyNumberFormat="1" applyFill="1" applyBorder="1" applyAlignment="1">
      <alignment horizontal="right" vertical="top" wrapText="1"/>
    </xf>
    <xf numFmtId="49" fontId="4" fillId="6" borderId="18" xfId="0" applyNumberFormat="1" applyFont="1" applyFill="1" applyBorder="1">
      <alignment vertical="top" wrapText="1"/>
    </xf>
    <xf numFmtId="49" fontId="0" fillId="7" borderId="2" xfId="0" applyNumberFormat="1" applyFill="1" applyBorder="1">
      <alignment vertical="top" wrapText="1"/>
    </xf>
    <xf numFmtId="49" fontId="0" fillId="7" borderId="4" xfId="0" applyNumberFormat="1" applyFill="1" applyBorder="1">
      <alignment vertical="top" wrapText="1"/>
    </xf>
    <xf numFmtId="0" fontId="0" fillId="7" borderId="4" xfId="0" applyFill="1" applyBorder="1" applyAlignment="1">
      <alignment horizontal="right" vertical="top" wrapText="1"/>
    </xf>
    <xf numFmtId="0" fontId="0" fillId="7" borderId="0" xfId="0" applyNumberFormat="1" applyFill="1">
      <alignment vertical="top" wrapText="1"/>
    </xf>
    <xf numFmtId="0" fontId="2" fillId="2" borderId="21" xfId="0" applyFont="1" applyFill="1" applyBorder="1">
      <alignment vertical="top" wrapText="1"/>
    </xf>
    <xf numFmtId="49" fontId="0" fillId="2" borderId="17" xfId="0" applyNumberFormat="1" applyFill="1" applyBorder="1">
      <alignment vertical="top" wrapText="1"/>
    </xf>
    <xf numFmtId="0" fontId="0" fillId="2" borderId="20" xfId="0" applyFill="1" applyBorder="1" applyAlignment="1">
      <alignment horizontal="right" vertical="top" wrapText="1"/>
    </xf>
    <xf numFmtId="0" fontId="0" fillId="2" borderId="22" xfId="0" applyFill="1" applyBorder="1" applyAlignment="1">
      <alignment horizontal="right" vertical="top" wrapText="1"/>
    </xf>
    <xf numFmtId="0" fontId="0" fillId="7" borderId="22" xfId="0" applyFill="1" applyBorder="1" applyAlignment="1">
      <alignment horizontal="right" vertical="top" wrapText="1"/>
    </xf>
    <xf numFmtId="0" fontId="0" fillId="2" borderId="15" xfId="0" applyFill="1" applyBorder="1" applyAlignment="1">
      <alignment horizontal="right" vertical="top" wrapText="1"/>
    </xf>
    <xf numFmtId="0" fontId="0" fillId="7" borderId="15" xfId="0" applyFill="1" applyBorder="1" applyAlignment="1">
      <alignment horizontal="right" vertical="top" wrapText="1"/>
    </xf>
    <xf numFmtId="0" fontId="0" fillId="2" borderId="23" xfId="0" applyNumberFormat="1" applyFill="1" applyBorder="1" applyAlignment="1">
      <alignment horizontal="right" vertical="top" wrapText="1"/>
    </xf>
    <xf numFmtId="0" fontId="0" fillId="2" borderId="24" xfId="0" applyNumberFormat="1" applyFill="1" applyBorder="1" applyAlignment="1">
      <alignment horizontal="right" vertical="top" wrapText="1"/>
    </xf>
    <xf numFmtId="0" fontId="0" fillId="7" borderId="24" xfId="0" applyNumberFormat="1" applyFill="1" applyBorder="1" applyAlignment="1">
      <alignment horizontal="right" vertical="top" wrapText="1"/>
    </xf>
    <xf numFmtId="0" fontId="0" fillId="2" borderId="24" xfId="0" applyFill="1" applyBorder="1" applyAlignment="1">
      <alignment horizontal="right" vertical="top" wrapText="1"/>
    </xf>
    <xf numFmtId="0" fontId="0" fillId="2" borderId="25" xfId="0" applyNumberFormat="1" applyFill="1" applyBorder="1" applyAlignment="1">
      <alignment horizontal="right" vertical="top" wrapText="1"/>
    </xf>
    <xf numFmtId="49" fontId="0" fillId="2" borderId="26" xfId="0" applyNumberFormat="1" applyFill="1" applyBorder="1" applyAlignment="1">
      <alignment horizontal="right" vertical="top" wrapText="1"/>
    </xf>
    <xf numFmtId="49" fontId="0" fillId="8" borderId="4" xfId="0" applyNumberFormat="1" applyFill="1" applyBorder="1" applyAlignment="1">
      <alignment horizontal="right" vertical="top" wrapText="1"/>
    </xf>
    <xf numFmtId="0" fontId="0" fillId="8" borderId="4" xfId="0" applyNumberFormat="1" applyFill="1" applyBorder="1" applyAlignment="1">
      <alignment horizontal="right" vertical="top" wrapText="1"/>
    </xf>
    <xf numFmtId="49" fontId="0" fillId="4" borderId="0" xfId="0" applyNumberFormat="1" applyFill="1" applyBorder="1" applyAlignment="1">
      <alignment horizontal="right" vertical="top" wrapText="1"/>
    </xf>
    <xf numFmtId="49" fontId="0" fillId="4" borderId="0" xfId="0" applyNumberFormat="1" applyFill="1" applyBorder="1">
      <alignment vertical="top" wrapText="1"/>
    </xf>
    <xf numFmtId="0" fontId="2" fillId="4" borderId="0" xfId="0" applyFont="1" applyFill="1" applyBorder="1">
      <alignment vertical="top" wrapText="1"/>
    </xf>
    <xf numFmtId="0" fontId="0" fillId="4" borderId="0" xfId="0" applyFill="1" applyBorder="1">
      <alignment vertical="top" wrapText="1"/>
    </xf>
    <xf numFmtId="0" fontId="0" fillId="4" borderId="0" xfId="0" applyFill="1" applyBorder="1" applyAlignment="1">
      <alignment horizontal="right" vertical="top" wrapText="1"/>
    </xf>
    <xf numFmtId="0" fontId="0" fillId="4" borderId="0" xfId="0" applyNumberFormat="1" applyFill="1" applyBorder="1">
      <alignment vertical="top" wrapText="1"/>
    </xf>
    <xf numFmtId="164" fontId="0" fillId="4" borderId="0" xfId="0" applyNumberFormat="1" applyFill="1" applyBorder="1">
      <alignment vertical="top" wrapText="1"/>
    </xf>
    <xf numFmtId="0" fontId="2" fillId="2" borderId="27" xfId="0" applyFont="1" applyFill="1" applyBorder="1">
      <alignment vertical="top" wrapText="1"/>
    </xf>
    <xf numFmtId="0" fontId="0" fillId="2" borderId="28" xfId="0" applyFill="1" applyBorder="1">
      <alignment vertical="top" wrapText="1"/>
    </xf>
    <xf numFmtId="0" fontId="0" fillId="2" borderId="22" xfId="0" applyFill="1" applyBorder="1">
      <alignment vertical="top" wrapText="1"/>
    </xf>
    <xf numFmtId="49" fontId="0" fillId="2" borderId="22" xfId="0" applyNumberFormat="1" applyFill="1" applyBorder="1">
      <alignment vertical="top" wrapText="1"/>
    </xf>
    <xf numFmtId="0" fontId="0" fillId="2" borderId="29" xfId="0" applyFill="1" applyBorder="1" applyAlignment="1">
      <alignment horizontal="right" vertical="top" wrapText="1"/>
    </xf>
    <xf numFmtId="0" fontId="0" fillId="2" borderId="30" xfId="0" applyFill="1" applyBorder="1" applyAlignment="1">
      <alignment horizontal="right" vertical="top" wrapText="1"/>
    </xf>
    <xf numFmtId="49" fontId="0" fillId="2" borderId="22" xfId="0" applyNumberFormat="1" applyFill="1" applyBorder="1" applyAlignment="1">
      <alignment horizontal="right" vertical="top" wrapText="1"/>
    </xf>
    <xf numFmtId="0" fontId="2" fillId="2" borderId="31" xfId="0" applyFont="1" applyFill="1" applyBorder="1">
      <alignment vertical="top" wrapText="1"/>
    </xf>
    <xf numFmtId="0" fontId="0" fillId="2" borderId="32" xfId="0" applyFill="1" applyBorder="1">
      <alignment vertical="top" wrapText="1"/>
    </xf>
    <xf numFmtId="0" fontId="0" fillId="2" borderId="33" xfId="0" applyFill="1" applyBorder="1">
      <alignment vertical="top" wrapText="1"/>
    </xf>
    <xf numFmtId="49" fontId="0" fillId="2" borderId="33" xfId="0" applyNumberFormat="1" applyFill="1" applyBorder="1">
      <alignment vertical="top" wrapText="1"/>
    </xf>
    <xf numFmtId="0" fontId="0" fillId="2" borderId="33" xfId="0" applyFill="1" applyBorder="1" applyAlignment="1">
      <alignment horizontal="right" vertical="top" wrapText="1"/>
    </xf>
    <xf numFmtId="0" fontId="0" fillId="7" borderId="33" xfId="0" applyFill="1" applyBorder="1" applyAlignment="1">
      <alignment horizontal="right" vertical="top" wrapText="1"/>
    </xf>
    <xf numFmtId="0" fontId="0" fillId="2" borderId="34" xfId="0" applyFill="1" applyBorder="1" applyAlignment="1">
      <alignment horizontal="right" vertical="top" wrapText="1"/>
    </xf>
    <xf numFmtId="0" fontId="0" fillId="2" borderId="35" xfId="0" applyFill="1" applyBorder="1" applyAlignment="1">
      <alignment horizontal="right" vertical="top" wrapText="1"/>
    </xf>
    <xf numFmtId="49" fontId="0" fillId="2" borderId="33" xfId="0" applyNumberFormat="1" applyFill="1" applyBorder="1" applyAlignment="1">
      <alignment horizontal="right" vertical="top" wrapText="1"/>
    </xf>
    <xf numFmtId="49" fontId="0" fillId="2" borderId="36" xfId="0" applyNumberFormat="1" applyFill="1" applyBorder="1" applyAlignment="1">
      <alignment horizontal="right" vertical="top" wrapText="1"/>
    </xf>
    <xf numFmtId="0" fontId="0" fillId="0" borderId="36" xfId="0" applyNumberFormat="1" applyBorder="1">
      <alignment vertical="top" wrapText="1"/>
    </xf>
    <xf numFmtId="49" fontId="0" fillId="2" borderId="37" xfId="0" applyNumberFormat="1" applyFill="1" applyBorder="1" applyAlignment="1">
      <alignment horizontal="right" vertical="top" wrapText="1"/>
    </xf>
    <xf numFmtId="0" fontId="2" fillId="2" borderId="38" xfId="0" applyFont="1" applyFill="1" applyBorder="1">
      <alignment vertical="top" wrapText="1"/>
    </xf>
    <xf numFmtId="0" fontId="0" fillId="2" borderId="39" xfId="0" applyFill="1" applyBorder="1">
      <alignment vertical="top" wrapText="1"/>
    </xf>
    <xf numFmtId="49" fontId="0" fillId="2" borderId="15" xfId="0" applyNumberFormat="1" applyFill="1" applyBorder="1">
      <alignment vertical="top" wrapText="1"/>
    </xf>
    <xf numFmtId="0" fontId="0" fillId="2" borderId="40" xfId="0" applyFill="1" applyBorder="1" applyAlignment="1">
      <alignment horizontal="right" vertical="top" wrapText="1"/>
    </xf>
    <xf numFmtId="0" fontId="0" fillId="7" borderId="40" xfId="0" applyFill="1" applyBorder="1" applyAlignment="1">
      <alignment horizontal="right" vertical="top" wrapText="1"/>
    </xf>
    <xf numFmtId="49" fontId="0" fillId="2" borderId="15" xfId="0" applyNumberFormat="1" applyFill="1" applyBorder="1" applyAlignment="1">
      <alignment horizontal="right" vertical="top" wrapText="1"/>
    </xf>
    <xf numFmtId="49" fontId="0" fillId="7" borderId="22" xfId="0" applyNumberFormat="1" applyFill="1" applyBorder="1">
      <alignment vertical="top" wrapText="1"/>
    </xf>
    <xf numFmtId="2" fontId="0" fillId="2" borderId="22" xfId="0" applyNumberFormat="1" applyFill="1" applyBorder="1" applyAlignment="1">
      <alignment horizontal="right" vertical="top" wrapText="1"/>
    </xf>
    <xf numFmtId="0" fontId="0" fillId="2" borderId="22" xfId="0" applyNumberFormat="1" applyFill="1" applyBorder="1" applyAlignment="1">
      <alignment horizontal="right" vertical="top" wrapText="1"/>
    </xf>
    <xf numFmtId="0" fontId="2" fillId="3" borderId="41" xfId="0" applyFont="1" applyFill="1" applyBorder="1">
      <alignment vertical="top" wrapText="1"/>
    </xf>
    <xf numFmtId="0" fontId="2" fillId="2" borderId="42" xfId="0" applyFont="1" applyFill="1" applyBorder="1">
      <alignment vertical="top" wrapText="1"/>
    </xf>
    <xf numFmtId="0" fontId="2" fillId="2" borderId="43" xfId="0" applyFont="1" applyFill="1" applyBorder="1">
      <alignment vertical="top" wrapText="1"/>
    </xf>
    <xf numFmtId="0" fontId="2" fillId="2" borderId="44" xfId="0" applyFont="1" applyFill="1" applyBorder="1">
      <alignment vertical="top" wrapText="1"/>
    </xf>
    <xf numFmtId="0" fontId="2" fillId="2" borderId="45" xfId="0" applyFont="1" applyFill="1" applyBorder="1">
      <alignment vertical="top" wrapText="1"/>
    </xf>
    <xf numFmtId="49" fontId="2" fillId="3" borderId="40" xfId="0" applyNumberFormat="1" applyFont="1" applyFill="1" applyBorder="1">
      <alignment vertical="top" wrapText="1"/>
    </xf>
    <xf numFmtId="49" fontId="0" fillId="9" borderId="16" xfId="0" applyNumberFormat="1" applyFill="1" applyBorder="1" applyAlignment="1">
      <alignment horizontal="right" vertical="top" wrapText="1"/>
    </xf>
    <xf numFmtId="0" fontId="0" fillId="9" borderId="15" xfId="0" applyNumberFormat="1" applyFill="1" applyBorder="1" applyAlignment="1">
      <alignment horizontal="right" vertical="top" wrapText="1"/>
    </xf>
    <xf numFmtId="49" fontId="0" fillId="9" borderId="17" xfId="0" applyNumberFormat="1" applyFill="1" applyBorder="1" applyAlignment="1">
      <alignment horizontal="right" vertical="top" wrapText="1"/>
    </xf>
    <xf numFmtId="0" fontId="0" fillId="9" borderId="4" xfId="0" applyNumberFormat="1" applyFill="1" applyBorder="1" applyAlignment="1">
      <alignment horizontal="right" vertical="top" wrapText="1"/>
    </xf>
    <xf numFmtId="49" fontId="0" fillId="9" borderId="29" xfId="0" applyNumberFormat="1" applyFill="1" applyBorder="1" applyAlignment="1">
      <alignment horizontal="right" vertical="top" wrapText="1"/>
    </xf>
    <xf numFmtId="0" fontId="0" fillId="9" borderId="22" xfId="0" applyNumberFormat="1" applyFill="1" applyBorder="1" applyAlignment="1">
      <alignment horizontal="right" vertical="top" wrapText="1"/>
    </xf>
    <xf numFmtId="0" fontId="0" fillId="9" borderId="2" xfId="0" applyFill="1" applyBorder="1" applyAlignment="1">
      <alignment horizontal="right" vertical="top" wrapText="1"/>
    </xf>
    <xf numFmtId="0" fontId="0" fillId="9" borderId="4" xfId="0" applyFill="1" applyBorder="1" applyAlignment="1">
      <alignment horizontal="right" vertical="top" wrapText="1"/>
    </xf>
    <xf numFmtId="0" fontId="0" fillId="9" borderId="22" xfId="0" applyFill="1" applyBorder="1" applyAlignment="1">
      <alignment horizontal="right" vertical="top" wrapText="1"/>
    </xf>
    <xf numFmtId="0" fontId="0" fillId="10" borderId="0" xfId="0" applyNumberFormat="1" applyFill="1" applyAlignment="1">
      <alignment horizontal="right" vertical="top" wrapText="1"/>
    </xf>
    <xf numFmtId="49" fontId="2" fillId="6" borderId="40" xfId="0" applyNumberFormat="1" applyFont="1" applyFill="1" applyBorder="1">
      <alignment vertical="top" wrapText="1"/>
    </xf>
    <xf numFmtId="14" fontId="0" fillId="2" borderId="6" xfId="0" applyNumberFormat="1" applyFill="1" applyBorder="1">
      <alignment vertical="top" wrapText="1"/>
    </xf>
    <xf numFmtId="14" fontId="0" fillId="2" borderId="3" xfId="0" applyNumberFormat="1" applyFill="1" applyBorder="1">
      <alignment vertical="top" wrapText="1"/>
    </xf>
    <xf numFmtId="14" fontId="0" fillId="2" borderId="5" xfId="0" applyNumberFormat="1" applyFill="1" applyBorder="1">
      <alignment vertical="top" wrapText="1"/>
    </xf>
    <xf numFmtId="14" fontId="0" fillId="2" borderId="30" xfId="0" applyNumberFormat="1" applyFill="1" applyBorder="1">
      <alignment vertical="top" wrapText="1"/>
    </xf>
    <xf numFmtId="14" fontId="3" fillId="3" borderId="10" xfId="0" applyNumberFormat="1" applyFont="1" applyFill="1" applyBorder="1" applyAlignment="1">
      <alignment vertical="top"/>
    </xf>
    <xf numFmtId="14" fontId="0" fillId="0" borderId="13" xfId="0" applyNumberFormat="1" applyBorder="1">
      <alignment vertical="top" wrapText="1"/>
    </xf>
    <xf numFmtId="0" fontId="2" fillId="5" borderId="18" xfId="0" applyNumberFormat="1" applyFont="1" applyFill="1" applyBorder="1">
      <alignment vertical="top" wrapText="1"/>
    </xf>
    <xf numFmtId="0" fontId="0" fillId="2" borderId="2" xfId="0" applyNumberFormat="1" applyFill="1" applyBorder="1">
      <alignment vertical="top" wrapText="1"/>
    </xf>
    <xf numFmtId="0" fontId="0" fillId="2" borderId="4" xfId="0" applyNumberFormat="1" applyFill="1" applyBorder="1">
      <alignment vertical="top" wrapText="1"/>
    </xf>
    <xf numFmtId="0" fontId="0" fillId="2" borderId="22" xfId="0" applyNumberFormat="1" applyFill="1" applyBorder="1">
      <alignment vertical="top" wrapText="1"/>
    </xf>
    <xf numFmtId="14" fontId="0" fillId="2" borderId="4" xfId="0" applyNumberFormat="1" applyFill="1" applyBorder="1">
      <alignment vertical="top" wrapText="1"/>
    </xf>
    <xf numFmtId="14" fontId="0" fillId="2" borderId="2" xfId="0" applyNumberFormat="1" applyFill="1" applyBorder="1">
      <alignment vertical="top" wrapText="1"/>
    </xf>
    <xf numFmtId="14" fontId="0" fillId="2" borderId="22" xfId="0" applyNumberFormat="1" applyFill="1" applyBorder="1">
      <alignment vertical="top" wrapText="1"/>
    </xf>
    <xf numFmtId="0" fontId="7" fillId="11" borderId="54" xfId="0" applyFont="1" applyFill="1" applyBorder="1">
      <alignment vertical="top" wrapText="1"/>
    </xf>
    <xf numFmtId="0" fontId="8" fillId="3" borderId="55" xfId="0" applyFont="1" applyFill="1" applyBorder="1" applyAlignment="1">
      <alignment vertical="center" wrapText="1"/>
    </xf>
    <xf numFmtId="9" fontId="8" fillId="3" borderId="55" xfId="0" applyNumberFormat="1" applyFont="1" applyFill="1" applyBorder="1">
      <alignment vertical="top" wrapText="1"/>
    </xf>
    <xf numFmtId="0" fontId="9" fillId="3" borderId="55" xfId="0" applyFont="1" applyFill="1" applyBorder="1" applyAlignment="1">
      <alignment horizontal="left" vertical="center" wrapText="1"/>
    </xf>
    <xf numFmtId="0" fontId="6" fillId="4" borderId="56" xfId="0" applyFont="1" applyFill="1" applyBorder="1">
      <alignment vertical="top" wrapText="1"/>
    </xf>
    <xf numFmtId="0" fontId="5" fillId="11" borderId="46" xfId="0" applyFont="1" applyFill="1" applyBorder="1">
      <alignment vertical="top" wrapText="1"/>
    </xf>
    <xf numFmtId="0" fontId="5" fillId="11" borderId="47" xfId="0" applyFont="1" applyFill="1" applyBorder="1">
      <alignment vertical="top" wrapText="1"/>
    </xf>
    <xf numFmtId="0" fontId="5" fillId="11" borderId="48" xfId="0" applyFont="1" applyFill="1" applyBorder="1">
      <alignment vertical="top" wrapText="1"/>
    </xf>
    <xf numFmtId="0" fontId="5" fillId="11" borderId="49" xfId="0" applyFont="1" applyFill="1" applyBorder="1">
      <alignment vertical="top" wrapText="1"/>
    </xf>
    <xf numFmtId="0" fontId="5" fillId="11" borderId="50" xfId="0" applyFont="1" applyFill="1" applyBorder="1">
      <alignment vertical="top" wrapText="1"/>
    </xf>
    <xf numFmtId="0" fontId="5" fillId="11" borderId="51" xfId="0" applyFont="1" applyFill="1" applyBorder="1">
      <alignment vertical="top" wrapText="1"/>
    </xf>
    <xf numFmtId="0" fontId="10" fillId="5" borderId="0" xfId="0" applyFont="1" applyFill="1">
      <alignment vertical="top" wrapText="1"/>
    </xf>
    <xf numFmtId="0" fontId="3" fillId="3" borderId="0" xfId="0" applyFont="1" applyFill="1" applyBorder="1" applyAlignment="1">
      <alignment vertical="top" shrinkToFit="1"/>
    </xf>
    <xf numFmtId="0" fontId="11" fillId="3" borderId="0" xfId="0" applyFont="1" applyFill="1" applyAlignment="1">
      <alignment vertical="top" shrinkToFit="1"/>
    </xf>
    <xf numFmtId="0" fontId="3" fillId="3" borderId="57" xfId="0" applyFont="1" applyFill="1" applyBorder="1" applyAlignment="1">
      <alignment vertical="top" shrinkToFit="1"/>
    </xf>
    <xf numFmtId="0" fontId="3" fillId="3" borderId="8" xfId="0" applyFont="1" applyFill="1" applyBorder="1" applyAlignment="1">
      <alignment vertical="top" shrinkToFit="1"/>
    </xf>
    <xf numFmtId="0" fontId="3" fillId="3" borderId="58" xfId="0" applyFont="1" applyFill="1" applyBorder="1" applyAlignment="1">
      <alignment vertical="top" shrinkToFit="1"/>
    </xf>
    <xf numFmtId="0" fontId="11" fillId="3" borderId="0" xfId="0" applyFont="1" applyFill="1" applyBorder="1" applyAlignment="1">
      <alignment vertical="top" shrinkToFit="1"/>
    </xf>
    <xf numFmtId="0" fontId="0" fillId="4" borderId="0" xfId="0" applyFill="1" applyAlignment="1">
      <alignment vertical="top" shrinkToFit="1"/>
    </xf>
    <xf numFmtId="0" fontId="12" fillId="3" borderId="8" xfId="0" applyFont="1" applyFill="1" applyBorder="1" applyAlignment="1">
      <alignment vertical="top" shrinkToFit="1"/>
    </xf>
    <xf numFmtId="0" fontId="0" fillId="0" borderId="46" xfId="0" applyBorder="1">
      <alignment vertical="top" wrapText="1"/>
    </xf>
    <xf numFmtId="0" fontId="0" fillId="0" borderId="48" xfId="0" applyBorder="1" applyAlignment="1">
      <alignment vertical="center" wrapText="1"/>
    </xf>
    <xf numFmtId="0" fontId="0" fillId="0" borderId="59" xfId="0" applyBorder="1" applyAlignment="1">
      <alignment vertical="center" wrapText="1"/>
    </xf>
    <xf numFmtId="0" fontId="0" fillId="0" borderId="60" xfId="0" applyBorder="1" applyAlignment="1">
      <alignment vertical="center" wrapText="1"/>
    </xf>
    <xf numFmtId="0" fontId="0" fillId="0" borderId="49" xfId="0" applyBorder="1" applyAlignment="1">
      <alignment vertical="center" wrapText="1"/>
    </xf>
    <xf numFmtId="0" fontId="0" fillId="0" borderId="51" xfId="0" applyBorder="1" applyAlignment="1">
      <alignment vertical="center" wrapText="1"/>
    </xf>
    <xf numFmtId="0" fontId="10" fillId="4" borderId="0" xfId="0" applyFont="1" applyFill="1">
      <alignment vertical="top" wrapText="1"/>
    </xf>
    <xf numFmtId="14" fontId="10" fillId="4" borderId="0" xfId="0" applyNumberFormat="1" applyFont="1" applyFill="1">
      <alignment vertical="top" wrapText="1"/>
    </xf>
    <xf numFmtId="0" fontId="10" fillId="4" borderId="0" xfId="0" applyNumberFormat="1" applyFont="1" applyFill="1">
      <alignment vertical="top" wrapText="1"/>
    </xf>
    <xf numFmtId="0" fontId="12" fillId="3" borderId="0" xfId="0" applyFont="1" applyFill="1" applyBorder="1" applyAlignment="1">
      <alignment vertical="top" shrinkToFit="1"/>
    </xf>
    <xf numFmtId="0" fontId="1" fillId="4" borderId="0" xfId="0" applyFont="1" applyFill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13" fillId="3" borderId="8" xfId="0" applyFont="1" applyFill="1" applyBorder="1" applyAlignment="1">
      <alignment vertical="top" shrinkToFit="1"/>
    </xf>
    <xf numFmtId="0" fontId="6" fillId="4" borderId="52" xfId="0" applyFont="1" applyFill="1" applyBorder="1" applyAlignment="1">
      <alignment horizontal="center" vertical="top" wrapText="1"/>
    </xf>
    <xf numFmtId="0" fontId="6" fillId="4" borderId="53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0" fillId="9" borderId="0" xfId="0" applyNumberFormat="1" applyFill="1" applyBorder="1" applyAlignment="1">
      <alignment horizontal="right" vertical="top" wrapText="1"/>
    </xf>
  </cellXfs>
  <cellStyles count="1">
    <cellStyle name="Normalny" xfId="0" builtinId="0"/>
  </cellStyles>
  <dxfs count="57"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</dxf>
    <dxf>
      <numFmt numFmtId="0" formatCode="General"/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30" formatCode="@"/>
      <fill>
        <patternFill patternType="solid">
          <fgColor indexed="64"/>
          <bgColor theme="8" tint="0.79998168889431442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/>
        <top style="thin">
          <color indexed="11"/>
        </top>
        <bottom style="thin">
          <color indexed="11"/>
        </bottom>
        <vertical/>
        <horizontal/>
      </border>
    </dxf>
    <dxf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2" formatCode="0.00"/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30" formatCode="@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30" formatCode="@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19" formatCode="dd/mm/yyyy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0" formatCode="General"/>
      <fill>
        <patternFill patternType="solid">
          <fgColor indexed="64"/>
          <bgColor indexed="14"/>
        </patternFill>
      </fill>
      <border diagonalUp="0" diagonalDown="0">
        <left style="thin">
          <color indexed="11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numFmt numFmtId="19" formatCode="dd/mm/yyyy"/>
      <fill>
        <patternFill patternType="solid">
          <fgColor indexed="64"/>
          <bgColor indexed="14"/>
        </patternFill>
      </fill>
      <border diagonalUp="0" diagonalDown="0">
        <left style="thin">
          <color indexed="16"/>
        </left>
        <right style="thin">
          <color indexed="11"/>
        </right>
        <top style="thin">
          <color indexed="11"/>
        </top>
        <bottom style="thin">
          <color indexed="1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Helvetica Neue"/>
        <scheme val="none"/>
      </font>
      <numFmt numFmtId="0" formatCode="General"/>
      <fill>
        <patternFill patternType="solid">
          <fgColor indexed="64"/>
          <bgColor indexed="14"/>
        </patternFill>
      </fill>
      <border diagonalUp="0" diagonalDown="0">
        <left style="thin">
          <color indexed="15"/>
        </left>
        <right style="thin">
          <color indexed="16"/>
        </right>
        <top style="thin">
          <color rgb="FF000000"/>
        </top>
        <bottom style="thin">
          <color rgb="FF000000"/>
        </bottom>
        <vertical/>
        <horizontal style="thin">
          <color rgb="FF000000"/>
        </horizontal>
      </border>
    </dxf>
    <dxf>
      <border>
        <left style="medium">
          <color theme="9" tint="-0.249977111117893"/>
        </left>
        <right style="medium">
          <color theme="9" tint="-0.249977111117893"/>
        </right>
        <top style="medium">
          <color theme="9" tint="-0.249977111117893"/>
        </top>
        <bottom style="medium">
          <color theme="9" tint="-0.249977111117893"/>
        </bottom>
      </border>
    </dxf>
    <dxf>
      <fill>
        <patternFill patternType="solid">
          <fgColor indexed="64"/>
          <bgColor indexed="14"/>
        </patternFill>
      </fill>
      <alignment horizontal="righ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Helvetica Neue"/>
        <scheme val="none"/>
      </font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11"/>
        </left>
        <right style="thin">
          <color indexed="11"/>
        </right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font>
        <sz val="12"/>
        <color rgb="FF22798E"/>
        <name val="Candara"/>
        <family val="2"/>
        <charset val="238"/>
      </font>
      <fill>
        <patternFill patternType="solid">
          <fgColor indexed="64"/>
          <bgColor theme="9" tint="0.79998168889431442"/>
        </patternFill>
      </fill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alignment horizontal="general" vertical="top" textRotation="0" wrapText="0" indent="0" justifyLastLine="0" shrinkToFit="1" readingOrder="0"/>
    </dxf>
    <dxf>
      <border diagonalUp="0" diagonalDown="0">
        <left style="medium">
          <color theme="4" tint="0.39997558519241921"/>
        </left>
        <right style="medium">
          <color theme="4" tint="0.39997558519241921"/>
        </right>
        <top style="medium">
          <color theme="4" tint="0.39997558519241921"/>
        </top>
        <bottom style="medium">
          <color theme="4" tint="0.39997558519241921"/>
        </bottom>
      </border>
    </dxf>
    <dxf>
      <alignment horizontal="general" vertical="top" textRotation="0" wrapText="0" indent="0" justifyLastLine="0" shrinkToFit="1" readingOrder="0"/>
    </dxf>
    <dxf>
      <border outline="0">
        <bottom style="medium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5766"/>
        <name val="Candara"/>
        <scheme val="none"/>
      </font>
      <fill>
        <patternFill patternType="solid">
          <fgColor indexed="64"/>
          <bgColor theme="9" tint="0.79998168889431442"/>
        </patternFill>
      </fill>
      <alignment horizontal="general" vertical="top" textRotation="0" wrapText="0" indent="0" justifyLastLine="0" shrinkToFit="1" readingOrder="0"/>
      <border diagonalUp="0" diagonalDown="0">
        <left style="medium">
          <color theme="4" tint="0.39997558519241921"/>
        </left>
        <right style="medium">
          <color theme="4" tint="0.39997558519241921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>
          <fgColor indexed="64"/>
          <bgColor theme="9" tint="0.79998168889431442"/>
        </patternFill>
      </fill>
      <border diagonalUp="0" diagonalDown="0"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strike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>
          <fgColor indexed="64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border outline="0">
        <top style="thin">
          <color theme="8" tint="-0.249977111117893"/>
        </top>
      </border>
    </dxf>
    <dxf>
      <font>
        <strike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theme="8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gency FB"/>
        <family val="2"/>
        <scheme val="none"/>
      </font>
      <fill>
        <patternFill patternType="solid">
          <fgColor indexed="64"/>
          <bgColor theme="8" tint="0.59999389629810485"/>
        </patternFill>
      </fill>
      <border diagonalUp="0" diagonalDown="0" outline="0">
        <left style="thin">
          <color theme="8" tint="-0.249977111117893"/>
        </left>
        <right style="thin">
          <color theme="8" tint="-0.249977111117893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Helvetica Neue"/>
        <scheme val="none"/>
      </font>
      <fill>
        <patternFill patternType="solid">
          <fgColor indexed="64"/>
          <bgColor theme="9" tint="0.59999389629810485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BFBFBF"/>
      <rgbColor rgb="FFA5A5A5"/>
      <rgbColor rgb="FFF2F2F2"/>
      <rgbColor rgb="FF3F3F3F"/>
      <rgbColor rgb="FFFEFFFE"/>
      <rgbColor rgb="FFF6F6F6"/>
      <rgbColor rgb="FFE4E4E4"/>
      <rgbColor rgb="FFEBEBEB"/>
      <rgbColor rgb="FFF2F7E4"/>
      <rgbColor rgb="FFDBDBDB"/>
      <rgbColor rgb="FFCDCDCD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790575</xdr:colOff>
          <xdr:row>0</xdr:row>
          <xdr:rowOff>104775</xdr:rowOff>
        </xdr:from>
        <xdr:to>
          <xdr:col>8</xdr:col>
          <xdr:colOff>1266825</xdr:colOff>
          <xdr:row>2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276225</xdr:colOff>
          <xdr:row>9</xdr:row>
          <xdr:rowOff>47625</xdr:rowOff>
        </xdr:from>
        <xdr:to>
          <xdr:col>17</xdr:col>
          <xdr:colOff>409575</xdr:colOff>
          <xdr:row>12</xdr:row>
          <xdr:rowOff>9525</xdr:rowOff>
        </xdr:to>
        <xdr:sp macro="" textlink="">
          <xdr:nvSpPr>
            <xdr:cNvPr id="1026" name="STAWKAVA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0</xdr:row>
          <xdr:rowOff>76200</xdr:rowOff>
        </xdr:from>
        <xdr:to>
          <xdr:col>3</xdr:col>
          <xdr:colOff>390525</xdr:colOff>
          <xdr:row>3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0</xdr:row>
          <xdr:rowOff>19050</xdr:rowOff>
        </xdr:from>
        <xdr:to>
          <xdr:col>9</xdr:col>
          <xdr:colOff>247650</xdr:colOff>
          <xdr:row>0</xdr:row>
          <xdr:rowOff>285750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76200</xdr:rowOff>
        </xdr:from>
        <xdr:to>
          <xdr:col>10</xdr:col>
          <xdr:colOff>1019175</xdr:colOff>
          <xdr:row>0</xdr:row>
          <xdr:rowOff>495300</xdr:rowOff>
        </xdr:to>
        <xdr:sp macro="" textlink="">
          <xdr:nvSpPr>
            <xdr:cNvPr id="4097" name="DODAJ_DO_ZAFAKTUROWANI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E6B60B-988A-45CC-BF56-D6917CAB61C3}" name="PINK" displayName="PINK" ref="C5:J6" insertRow="1" totalsRowShown="0" headerRowDxfId="56" dataDxfId="55">
  <autoFilter ref="C5:J6" xr:uid="{84E6B60B-988A-45CC-BF56-D6917CAB61C3}"/>
  <tableColumns count="8">
    <tableColumn id="1" xr3:uid="{F43A7701-AFEB-414E-9C9D-3A37716F02F4}" name="NIP" dataDxfId="54"/>
    <tableColumn id="2" xr3:uid="{15879E7A-B345-4618-BD3C-F4207ECEC2CD}" name="NUMER ZLECENIA"/>
    <tableColumn id="3" xr3:uid="{70EF4327-8C72-4570-840B-3D956E75CE36}" name="NUMER SAMOCHODU" dataDxfId="53"/>
    <tableColumn id="4" xr3:uid="{F0E83519-84D2-4143-AAD4-A0FBAE42692C}" name="ADRES ROZŁADUNKU"/>
    <tableColumn id="5" xr3:uid="{9934DD66-057D-4CA2-80B5-3F96C40A787D}" name="DATA ROZŁADUNKU" dataDxfId="52"/>
    <tableColumn id="6" xr3:uid="{7C3920A6-D128-466F-AC04-434730A5DF7C}" name="KWOTA NETTO" dataDxfId="51"/>
    <tableColumn id="7" xr3:uid="{1D117149-5F89-4286-8BAE-B1F472CCA866}" name="TERMIN PŁATNOŚCI" dataDxfId="50"/>
    <tableColumn id="8" xr3:uid="{95784FFA-A7C7-4A2F-B33A-C9F496EE5DD4}" name="VAT" dataDxfId="49">
      <calculatedColumnFormula>_xlfn.XLOOKUP(PINK[[#This Row],[ADRES ROZŁADUNKU]],STAWKA_VAT[[KRAJ ]],STAWKA_VAT[[STAWKA VAT ]],"23%")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42289B-D47F-4CE3-BD12-6B917FF0E9AA}" name="STAWKA_VAT" displayName="STAWKA_VAT" ref="L4:N27" totalsRowShown="0" headerRowDxfId="48" dataDxfId="46" headerRowBorderDxfId="47" tableBorderDxfId="45">
  <autoFilter ref="L4:N27" xr:uid="{AA42289B-D47F-4CE3-BD12-6B917FF0E9AA}"/>
  <tableColumns count="3">
    <tableColumn id="1" xr3:uid="{E363FC02-6539-4D9A-B243-48CE1820BD4B}" name="KRAJ " dataDxfId="44"/>
    <tableColumn id="2" xr3:uid="{C5318678-CD9D-4479-845F-3BF25141DF5D}" name="PREFEKS" dataDxfId="43"/>
    <tableColumn id="3" xr3:uid="{53B1599C-D5B9-40A2-A99C-F66DCC2BE545}" name="STAWKA VAT " dataDxfId="4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95F22-337A-42DF-852B-A33D33615084}" name="LISTA_TRASEK" displayName="LISTA_TRASEK" ref="B3:K37" totalsRowShown="0" headerRowDxfId="41" dataDxfId="39" headerRowBorderDxfId="40" tableBorderDxfId="38">
  <autoFilter ref="B3:K37" xr:uid="{63A95F22-337A-42DF-852B-A33D33615084}">
    <filterColumn colId="0">
      <filters>
        <filter val="FZ0296S"/>
      </filters>
    </filterColumn>
  </autoFilter>
  <tableColumns count="10">
    <tableColumn id="1" xr3:uid="{6A271422-A1DD-4C9F-AF28-71F6D31AA3B8}" name="autko" dataDxfId="37"/>
    <tableColumn id="3" xr3:uid="{3D338049-4E79-4999-A3B7-1F8BA3CF7D0B}" name="Data załadunku" dataDxfId="36"/>
    <tableColumn id="4" xr3:uid="{F19262D2-131D-4214-87BC-365AC310C2B1}" name="adres załadunku" dataDxfId="35"/>
    <tableColumn id="14" xr3:uid="{0A1DF6F1-FE64-4074-A1DD-56C1B9BF4F67}" name="traska" dataDxfId="34"/>
    <tableColumn id="13" xr3:uid="{5EB8EFFA-067A-4523-9BB4-A5622A5BFC00}" name="data rozładunku" dataDxfId="33"/>
    <tableColumn id="15" xr3:uid="{677A8B66-52F9-4C50-B607-5CAC27C141AF}" name="miejsce rozładunku" dataDxfId="32"/>
    <tableColumn id="5" xr3:uid="{18BD899B-5EA0-4A74-9D26-F75A895BFA42}" name="JPG HOTEL FV" dataDxfId="31"/>
    <tableColumn id="16" xr3:uid="{A5BC215E-F36C-459F-9B10-EB23C6AD5ECF}" name="DOKUMENTY JPG" dataDxfId="30"/>
    <tableColumn id="2" xr3:uid="{C9BF611D-BC95-47BC-9F2E-17A94F8F0E32}" name="KRAJ ROZŁADUNKU" dataDxfId="29"/>
    <tableColumn id="6" xr3:uid="{0CCA1DDA-863D-4E1C-BFA5-A5B58AFFF639}" name="KILOMETRY" dataDxfId="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C5EE58-1A9D-4B2A-8F27-04AA03AB3652}" name="Tabela5" displayName="Tabela5" ref="M3:N51" totalsRowShown="0" headerRowDxfId="27">
  <autoFilter ref="M3:N51" xr:uid="{76C5EE58-1A9D-4B2A-8F27-04AA03AB3652}"/>
  <tableColumns count="2">
    <tableColumn id="1" xr3:uid="{E8C06600-BABC-4169-9D2F-3076DBEE250D}" name="KRAJ" dataDxfId="26"/>
    <tableColumn id="2" xr3:uid="{B7C6BB80-CC76-4BA5-B5EA-E1A440A719E4}" name="SYMBOL" dataDxfId="2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4A05AE-6D9C-4E3C-9AC9-E6ED7E2C206F}" name="Tabela33" displayName="Tabela33" ref="A2:V24" totalsRowShown="0" headerRowDxfId="24" dataDxfId="23" tableBorderDxfId="22">
  <autoFilter ref="A2:V24" xr:uid="{FBA1CCE2-0740-4DBF-82D1-00067D973A45}"/>
  <tableColumns count="22">
    <tableColumn id="1" xr3:uid="{7FEA8944-52D9-4250-963B-990EB5EE7FEE}" name="AUTKO" dataDxfId="21">
      <calculatedColumnFormula>FILTRUJ!BS2</calculatedColumnFormula>
    </tableColumn>
    <tableColumn id="2" xr3:uid="{61830064-2EFD-4DF5-86E3-A6606BA1E21A}" name="Data" dataDxfId="20">
      <calculatedColumnFormula>IF(FILTRUJ!BT2="", "", TEXT(FILTRUJ!BT2, "DD.MM")) &amp; "-" &amp; IF(FILTRUJ!BW2="", "", TEXT(FILTRUJ!BW2, "DD.MM"))</calculatedColumnFormula>
    </tableColumn>
    <tableColumn id="3" xr3:uid="{B52DC188-17C8-4318-AD91-E043C6EAE2C2}" name="Trasa" dataDxfId="19">
      <calculatedColumnFormula>FILTRUJ!BV2</calculatedColumnFormula>
    </tableColumn>
    <tableColumn id="15" xr3:uid="{5F7E1D72-7A26-4A7A-9259-4ECAF037730A}" name="DATA ZAŁADUNKU" dataDxfId="18">
      <calculatedColumnFormula>FILTRUJ!BT2</calculatedColumnFormula>
    </tableColumn>
    <tableColumn id="17" xr3:uid="{C15C1D5F-38CC-47D8-9E3B-C37001694ADD}" name="ADRES ZAŁADUNKU" dataDxfId="17">
      <calculatedColumnFormula>FILTRUJ!BU2</calculatedColumnFormula>
    </tableColumn>
    <tableColumn id="16" xr3:uid="{049AC5B8-E385-46F1-B847-D75D53BD7738}" name="DATA ROZŁADUNKU" dataDxfId="16">
      <calculatedColumnFormula>FILTRUJ!BW2</calculatedColumnFormula>
    </tableColumn>
    <tableColumn id="18" xr3:uid="{1CAB5793-17E5-4BD7-A75A-CFFEA209B967}" name="ADRES ROZŁADUNKU" dataDxfId="15">
      <calculatedColumnFormula>FILTRUJ!BX2</calculatedColumnFormula>
    </tableColumn>
    <tableColumn id="4" xr3:uid="{297F0614-EDB9-46F9-990D-B46064E321AD}" name="Nr zlecenia" dataDxfId="14"/>
    <tableColumn id="19" xr3:uid="{99556E3A-A54E-4210-B500-EF54BD99E32F}" name="ZLECENIE PDF" dataDxfId="13"/>
    <tableColumn id="5" xr3:uid="{FB5FA306-B72E-4131-9BED-4183CA1C01B1}" name="Km planowane" dataDxfId="12"/>
    <tableColumn id="7" xr3:uid="{A0CCDE0E-8994-4303-B288-A7C3B9CA9A7A}" name="KWOTA ZLECENIA" dataDxfId="11"/>
    <tableColumn id="8" xr3:uid="{4165D022-8622-4623-840C-CC7D125775A9}" name="Stawka" dataDxfId="10">
      <calculatedColumnFormula>(K3-P3-M3*40)/J3</calculatedColumnFormula>
    </tableColumn>
    <tableColumn id="9" xr3:uid="{1571EFB3-FEA1-4F7A-B628-783F36A549CB}" name="Hotele" dataDxfId="9"/>
    <tableColumn id="20" xr3:uid="{35AF7A7F-52FE-4483-84F3-A1E960C51BA0}" name="FAKTURA ZA  HOTEL" dataDxfId="8">
      <calculatedColumnFormula>FILTRUJ!BY2</calculatedColumnFormula>
    </tableColumn>
    <tableColumn id="10" xr3:uid="{FF9711ED-A829-48CA-8F2E-3BB7E977E0D2}" name="Różnica" dataDxfId="7">
      <calculatedColumnFormula>K3-0.55*J3-M3*40-P3</calculatedColumnFormula>
    </tableColumn>
    <tableColumn id="11" xr3:uid="{BA00E4ED-60B4-4C15-9DE3-6A76E8617BC2}" name="Opłaty za drogi" dataDxfId="6"/>
    <tableColumn id="12" xr3:uid="{DDB1739A-5421-4EF1-A6FE-F9C39F1D988A}" name="paliwo" dataDxfId="5"/>
    <tableColumn id="13" xr3:uid="{A38FF743-5402-48D7-AE38-86E808EF69E4}" name="Faktura" dataDxfId="4"/>
    <tableColumn id="21" xr3:uid="{B988E446-FC6F-457F-970F-98E27FC44380}" name="DATA WYSTAWIENIA " dataDxfId="3"/>
    <tableColumn id="6" xr3:uid="{5113C7B7-1078-44CA-B96D-0E7DE0976403}" name="FAKTURA PDF" dataDxfId="0"/>
    <tableColumn id="14" xr3:uid="{BAD1EA0A-D238-43D4-A34E-E7080ED75EA2}" name="DOKUMENTY CMR" dataDxfId="2">
      <calculatedColumnFormula>FILTRUJ!BZ2</calculatedColumnFormula>
    </tableColumn>
    <tableColumn id="22" xr3:uid="{F8837009-6AD8-4FBA-A4DB-E4CAB9E3CE2A}" name="KRAJ ROZŁADUNKU" dataDxfId="1">
      <calculatedColumnFormula>FILTRUJ!CA2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8079B69-A43A-4020-B98B-1877B72AB56E}">
  <we:reference id="wa200002617" version="1.0.0.2" store="en-US" storeType="OMEX"/>
  <we:alternateReferences>
    <we:reference id="WA200002617" version="1.0.0.2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7673-6292-4FBF-B3DD-A5E272C67DC7}">
  <sheetPr codeName="Arkusz1">
    <tabColor theme="9" tint="0.39997558519241921"/>
  </sheetPr>
  <dimension ref="C1:O27"/>
  <sheetViews>
    <sheetView workbookViewId="0">
      <selection activeCell="E30" sqref="E30"/>
    </sheetView>
  </sheetViews>
  <sheetFormatPr defaultRowHeight="12.75"/>
  <cols>
    <col min="1" max="3" width="9.140625" style="14"/>
    <col min="4" max="4" width="19.28515625" style="14" customWidth="1"/>
    <col min="5" max="6" width="22.5703125" style="14" customWidth="1"/>
    <col min="7" max="7" width="21" style="14" customWidth="1"/>
    <col min="8" max="8" width="16.5703125" style="14" customWidth="1"/>
    <col min="9" max="9" width="20.85546875" style="14" customWidth="1"/>
    <col min="10" max="11" width="9.140625" style="14"/>
    <col min="12" max="12" width="14.28515625" style="14" customWidth="1"/>
    <col min="13" max="13" width="10.85546875" style="14" customWidth="1"/>
    <col min="14" max="14" width="11.42578125" style="14" customWidth="1"/>
    <col min="15" max="16384" width="9.140625" style="14"/>
  </cols>
  <sheetData>
    <row r="1" spans="3:15" ht="21" customHeight="1" thickBot="1"/>
    <row r="2" spans="3:15" ht="13.5" customHeight="1" thickBot="1">
      <c r="E2" s="122" t="s">
        <v>0</v>
      </c>
      <c r="F2" s="123"/>
      <c r="G2" s="124"/>
    </row>
    <row r="3" spans="3:15" ht="13.5" customHeight="1" thickBot="1">
      <c r="E3" s="125"/>
      <c r="F3" s="126"/>
      <c r="G3" s="127"/>
      <c r="L3" s="150" t="s">
        <v>1</v>
      </c>
      <c r="M3" s="151"/>
      <c r="N3" s="151"/>
      <c r="O3" s="121"/>
    </row>
    <row r="4" spans="3:15" ht="15.75">
      <c r="L4" s="117" t="s">
        <v>2</v>
      </c>
      <c r="M4" s="117" t="s">
        <v>3</v>
      </c>
      <c r="N4" s="117" t="s">
        <v>4</v>
      </c>
    </row>
    <row r="5" spans="3:15" ht="38.25" customHeight="1">
      <c r="C5" s="128" t="s">
        <v>5</v>
      </c>
      <c r="D5" s="128" t="s">
        <v>6</v>
      </c>
      <c r="E5" s="128" t="s">
        <v>7</v>
      </c>
      <c r="F5" s="128" t="s">
        <v>8</v>
      </c>
      <c r="G5" s="128" t="s">
        <v>9</v>
      </c>
      <c r="H5" s="128" t="s">
        <v>10</v>
      </c>
      <c r="I5" s="128" t="s">
        <v>11</v>
      </c>
      <c r="J5" s="128" t="s">
        <v>12</v>
      </c>
      <c r="L5" s="120" t="s">
        <v>13</v>
      </c>
      <c r="M5" s="118" t="s">
        <v>14</v>
      </c>
      <c r="N5" s="119">
        <v>0</v>
      </c>
    </row>
    <row r="6" spans="3:15">
      <c r="C6" s="143"/>
      <c r="D6" s="128"/>
      <c r="E6" s="143"/>
      <c r="F6" s="128"/>
      <c r="G6" s="144"/>
      <c r="H6" s="143"/>
      <c r="I6" s="143"/>
      <c r="J6" s="145"/>
      <c r="L6" s="120" t="s">
        <v>15</v>
      </c>
      <c r="M6" s="118" t="s">
        <v>16</v>
      </c>
      <c r="N6" s="119">
        <v>0</v>
      </c>
    </row>
    <row r="7" spans="3:15">
      <c r="L7" s="120" t="s">
        <v>17</v>
      </c>
      <c r="M7" s="118" t="s">
        <v>18</v>
      </c>
      <c r="N7" s="119">
        <v>0</v>
      </c>
    </row>
    <row r="8" spans="3:15">
      <c r="L8" s="120" t="s">
        <v>19</v>
      </c>
      <c r="M8" s="118" t="s">
        <v>20</v>
      </c>
      <c r="N8" s="119">
        <v>0</v>
      </c>
    </row>
    <row r="9" spans="3:15" ht="25.5">
      <c r="L9" s="120" t="s">
        <v>21</v>
      </c>
      <c r="M9" s="118" t="s">
        <v>22</v>
      </c>
      <c r="N9" s="119">
        <v>0</v>
      </c>
    </row>
    <row r="10" spans="3:15">
      <c r="L10" s="120" t="s">
        <v>23</v>
      </c>
      <c r="M10" s="118" t="s">
        <v>24</v>
      </c>
      <c r="N10" s="119">
        <v>0</v>
      </c>
    </row>
    <row r="11" spans="3:15">
      <c r="L11" s="120" t="s">
        <v>25</v>
      </c>
      <c r="M11" s="118" t="s">
        <v>26</v>
      </c>
      <c r="N11" s="119">
        <v>0</v>
      </c>
    </row>
    <row r="12" spans="3:15">
      <c r="L12" s="120" t="s">
        <v>27</v>
      </c>
      <c r="M12" s="118" t="s">
        <v>28</v>
      </c>
      <c r="N12" s="119">
        <v>0</v>
      </c>
    </row>
    <row r="13" spans="3:15">
      <c r="L13" s="120" t="s">
        <v>29</v>
      </c>
      <c r="M13" s="118" t="s">
        <v>30</v>
      </c>
      <c r="N13" s="119">
        <v>0</v>
      </c>
    </row>
    <row r="14" spans="3:15">
      <c r="L14" s="120" t="s">
        <v>31</v>
      </c>
      <c r="M14" s="118" t="s">
        <v>32</v>
      </c>
      <c r="N14" s="119">
        <v>0</v>
      </c>
    </row>
    <row r="15" spans="3:15" ht="25.5">
      <c r="L15" s="120" t="s">
        <v>33</v>
      </c>
      <c r="M15" s="118" t="s">
        <v>34</v>
      </c>
      <c r="N15" s="119">
        <v>0</v>
      </c>
    </row>
    <row r="16" spans="3:15">
      <c r="L16" s="120" t="s">
        <v>35</v>
      </c>
      <c r="M16" s="118" t="s">
        <v>36</v>
      </c>
      <c r="N16" s="119">
        <v>0</v>
      </c>
    </row>
    <row r="17" spans="12:14">
      <c r="L17" s="120" t="s">
        <v>37</v>
      </c>
      <c r="M17" s="118" t="s">
        <v>38</v>
      </c>
      <c r="N17" s="119">
        <v>0</v>
      </c>
    </row>
    <row r="18" spans="12:14">
      <c r="L18" s="120" t="s">
        <v>39</v>
      </c>
      <c r="M18" s="118" t="s">
        <v>40</v>
      </c>
      <c r="N18" s="119">
        <v>0</v>
      </c>
    </row>
    <row r="19" spans="12:14">
      <c r="L19" s="120" t="s">
        <v>41</v>
      </c>
      <c r="M19" s="118" t="s">
        <v>42</v>
      </c>
      <c r="N19" s="119">
        <v>0</v>
      </c>
    </row>
    <row r="20" spans="12:14">
      <c r="L20" s="120" t="s">
        <v>43</v>
      </c>
      <c r="M20" s="118" t="s">
        <v>44</v>
      </c>
      <c r="N20" s="119">
        <v>0</v>
      </c>
    </row>
    <row r="21" spans="12:14">
      <c r="L21" s="120" t="s">
        <v>45</v>
      </c>
      <c r="M21" s="118" t="s">
        <v>46</v>
      </c>
      <c r="N21" s="119">
        <v>0</v>
      </c>
    </row>
    <row r="22" spans="12:14">
      <c r="L22" s="120" t="s">
        <v>47</v>
      </c>
      <c r="M22" s="118" t="s">
        <v>48</v>
      </c>
      <c r="N22" s="119">
        <v>0</v>
      </c>
    </row>
    <row r="23" spans="12:14">
      <c r="L23" s="120" t="s">
        <v>49</v>
      </c>
      <c r="M23" s="118" t="s">
        <v>50</v>
      </c>
      <c r="N23" s="119">
        <v>0</v>
      </c>
    </row>
    <row r="24" spans="12:14">
      <c r="L24" s="120" t="s">
        <v>51</v>
      </c>
      <c r="M24" s="118" t="s">
        <v>52</v>
      </c>
      <c r="N24" s="119">
        <v>0</v>
      </c>
    </row>
    <row r="25" spans="12:14">
      <c r="L25" s="120" t="s">
        <v>53</v>
      </c>
      <c r="M25" s="118" t="s">
        <v>54</v>
      </c>
      <c r="N25" s="119">
        <v>0</v>
      </c>
    </row>
    <row r="26" spans="12:14">
      <c r="L26" s="120" t="s">
        <v>55</v>
      </c>
      <c r="M26" s="118" t="s">
        <v>56</v>
      </c>
      <c r="N26" s="119">
        <v>0</v>
      </c>
    </row>
    <row r="27" spans="12:14" ht="25.5">
      <c r="L27" s="120" t="s">
        <v>57</v>
      </c>
      <c r="M27" s="118" t="s">
        <v>58</v>
      </c>
      <c r="N27" s="119">
        <v>0</v>
      </c>
    </row>
  </sheetData>
  <mergeCells count="1">
    <mergeCell ref="L3:N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autoPict="0" r:id="rId5">
            <anchor moveWithCells="1">
              <from>
                <xdr:col>1</xdr:col>
                <xdr:colOff>542925</xdr:colOff>
                <xdr:row>0</xdr:row>
                <xdr:rowOff>76200</xdr:rowOff>
              </from>
              <to>
                <xdr:col>3</xdr:col>
                <xdr:colOff>390525</xdr:colOff>
                <xdr:row>3</xdr:row>
                <xdr:rowOff>9525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STAWKAVAT">
          <controlPr defaultSize="0" autoLine="0" r:id="rId7">
            <anchor moveWithCells="1">
              <from>
                <xdr:col>14</xdr:col>
                <xdr:colOff>276225</xdr:colOff>
                <xdr:row>9</xdr:row>
                <xdr:rowOff>47625</xdr:rowOff>
              </from>
              <to>
                <xdr:col>17</xdr:col>
                <xdr:colOff>409575</xdr:colOff>
                <xdr:row>12</xdr:row>
                <xdr:rowOff>9525</xdr:rowOff>
              </to>
            </anchor>
          </controlPr>
        </control>
      </mc:Choice>
      <mc:Fallback>
        <control shapeId="1026" r:id="rId6" name="STAWKAVAT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>
              <from>
                <xdr:col>7</xdr:col>
                <xdr:colOff>790575</xdr:colOff>
                <xdr:row>0</xdr:row>
                <xdr:rowOff>104775</xdr:rowOff>
              </from>
              <to>
                <xdr:col>8</xdr:col>
                <xdr:colOff>1266825</xdr:colOff>
                <xdr:row>2</xdr:row>
                <xdr:rowOff>85725</xdr:rowOff>
              </to>
            </anchor>
          </controlPr>
        </control>
      </mc:Choice>
      <mc:Fallback>
        <control shapeId="1025" r:id="rId8" name="CommandButton1"/>
      </mc:Fallback>
    </mc:AlternateContent>
  </controls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184A6-5023-4F57-9D46-0BC59EA5F31D}">
  <sheetPr codeName="Arkusz2"/>
  <dimension ref="A1:AA51"/>
  <sheetViews>
    <sheetView workbookViewId="0">
      <pane ySplit="1" topLeftCell="A2" activePane="bottomLeft" state="frozen"/>
      <selection pane="bottomLeft" activeCell="L3" sqref="L3"/>
    </sheetView>
  </sheetViews>
  <sheetFormatPr defaultRowHeight="12.75"/>
  <cols>
    <col min="1" max="1" width="11.42578125" style="14" customWidth="1"/>
    <col min="3" max="3" width="22.7109375" customWidth="1"/>
    <col min="4" max="4" width="25.5703125" customWidth="1"/>
    <col min="5" max="5" width="13" customWidth="1"/>
    <col min="6" max="6" width="17.28515625" bestFit="1" customWidth="1"/>
    <col min="7" max="7" width="24.85546875" customWidth="1"/>
    <col min="8" max="8" width="15.140625" bestFit="1" customWidth="1"/>
    <col min="9" max="9" width="21.5703125" customWidth="1"/>
    <col min="10" max="12" width="16" style="14" customWidth="1"/>
    <col min="13" max="13" width="13" style="14" customWidth="1"/>
    <col min="14" max="14" width="11" style="14" customWidth="1"/>
    <col min="15" max="27" width="9.140625" style="14"/>
  </cols>
  <sheetData>
    <row r="1" spans="2:27" ht="24" customHeight="1">
      <c r="B1" s="14"/>
      <c r="C1" s="14"/>
      <c r="D1" s="14"/>
      <c r="E1" s="152" t="s">
        <v>59</v>
      </c>
      <c r="F1" s="152"/>
      <c r="G1" s="152"/>
      <c r="H1" s="152"/>
      <c r="I1" s="147"/>
    </row>
    <row r="2" spans="2:27">
      <c r="B2" s="14"/>
      <c r="C2" s="14"/>
      <c r="D2" s="14"/>
      <c r="E2" s="14"/>
      <c r="F2" s="14"/>
      <c r="G2" s="14"/>
      <c r="H2" s="14"/>
      <c r="I2" s="14"/>
    </row>
    <row r="3" spans="2:27" ht="31.5" customHeight="1" thickBot="1">
      <c r="B3" s="131" t="s">
        <v>60</v>
      </c>
      <c r="C3" s="132" t="s">
        <v>61</v>
      </c>
      <c r="D3" s="132" t="s">
        <v>62</v>
      </c>
      <c r="E3" s="132" t="s">
        <v>63</v>
      </c>
      <c r="F3" s="132" t="s">
        <v>64</v>
      </c>
      <c r="G3" s="132" t="s">
        <v>65</v>
      </c>
      <c r="H3" s="132" t="s">
        <v>66</v>
      </c>
      <c r="I3" s="133" t="s">
        <v>67</v>
      </c>
      <c r="J3" s="136" t="s">
        <v>68</v>
      </c>
      <c r="K3" s="149" t="s">
        <v>213</v>
      </c>
      <c r="L3" s="146"/>
      <c r="M3" s="14" t="s">
        <v>69</v>
      </c>
      <c r="N3" s="14" t="s">
        <v>70</v>
      </c>
    </row>
    <row r="4" spans="2:27" ht="15.75" hidden="1">
      <c r="B4" s="134" t="s">
        <v>71</v>
      </c>
      <c r="C4" s="129" t="s">
        <v>72</v>
      </c>
      <c r="D4" s="134" t="s">
        <v>73</v>
      </c>
      <c r="E4" s="134" t="s">
        <v>74</v>
      </c>
      <c r="F4" s="129" t="s">
        <v>75</v>
      </c>
      <c r="G4" s="134" t="s">
        <v>76</v>
      </c>
      <c r="H4" s="129"/>
      <c r="I4" s="129" t="s">
        <v>77</v>
      </c>
      <c r="J4" s="135" t="s">
        <v>78</v>
      </c>
      <c r="K4" s="135"/>
      <c r="L4" s="135"/>
      <c r="M4" s="137" t="s">
        <v>13</v>
      </c>
      <c r="N4" s="138" t="s">
        <v>14</v>
      </c>
      <c r="Z4"/>
      <c r="AA4"/>
    </row>
    <row r="5" spans="2:27" ht="15.75" hidden="1">
      <c r="B5" s="129" t="s">
        <v>71</v>
      </c>
      <c r="C5" s="129" t="s">
        <v>79</v>
      </c>
      <c r="D5" s="129" t="s">
        <v>80</v>
      </c>
      <c r="E5" s="129" t="s">
        <v>81</v>
      </c>
      <c r="F5" s="129" t="s">
        <v>82</v>
      </c>
      <c r="G5" s="129" t="s">
        <v>83</v>
      </c>
      <c r="H5" s="129"/>
      <c r="I5" s="129" t="s">
        <v>84</v>
      </c>
      <c r="J5" s="135" t="s">
        <v>45</v>
      </c>
      <c r="K5" s="135"/>
      <c r="L5" s="135"/>
      <c r="M5" s="139" t="s">
        <v>15</v>
      </c>
      <c r="N5" s="140" t="s">
        <v>16</v>
      </c>
      <c r="Z5"/>
      <c r="AA5"/>
    </row>
    <row r="6" spans="2:27" ht="15.75" hidden="1">
      <c r="B6" s="129" t="s">
        <v>71</v>
      </c>
      <c r="C6" s="129" t="s">
        <v>82</v>
      </c>
      <c r="D6" s="129" t="s">
        <v>85</v>
      </c>
      <c r="E6" s="129" t="s">
        <v>86</v>
      </c>
      <c r="F6" s="129" t="s">
        <v>87</v>
      </c>
      <c r="G6" s="129" t="s">
        <v>88</v>
      </c>
      <c r="H6" s="129"/>
      <c r="I6" s="129" t="s">
        <v>89</v>
      </c>
      <c r="J6" s="135" t="s">
        <v>78</v>
      </c>
      <c r="K6" s="135"/>
      <c r="L6" s="135"/>
      <c r="M6" s="139" t="s">
        <v>17</v>
      </c>
      <c r="N6" s="140" t="s">
        <v>18</v>
      </c>
      <c r="Z6"/>
      <c r="AA6"/>
    </row>
    <row r="7" spans="2:27" ht="15.75">
      <c r="B7" s="129"/>
      <c r="C7" s="129"/>
      <c r="D7" s="129"/>
      <c r="E7" s="129"/>
      <c r="F7" s="129"/>
      <c r="G7" s="129"/>
      <c r="H7" s="129"/>
      <c r="I7" s="129"/>
      <c r="J7" s="135"/>
      <c r="K7" s="135"/>
      <c r="L7" s="135"/>
      <c r="M7" s="139" t="s">
        <v>93</v>
      </c>
      <c r="N7" s="140" t="s">
        <v>94</v>
      </c>
      <c r="Z7"/>
      <c r="AA7"/>
    </row>
    <row r="8" spans="2:27" ht="15.75">
      <c r="B8" s="129"/>
      <c r="C8" s="129"/>
      <c r="D8" s="129"/>
      <c r="E8" s="129"/>
      <c r="F8" s="129"/>
      <c r="G8" s="129"/>
      <c r="H8" s="129"/>
      <c r="I8" s="129"/>
      <c r="J8" s="135"/>
      <c r="K8" s="135"/>
      <c r="L8" s="135"/>
      <c r="M8" s="139" t="s">
        <v>19</v>
      </c>
      <c r="N8" s="140" t="s">
        <v>20</v>
      </c>
      <c r="Z8"/>
      <c r="AA8"/>
    </row>
    <row r="9" spans="2:27" ht="15.75" hidden="1">
      <c r="B9" s="134" t="s">
        <v>95</v>
      </c>
      <c r="C9" s="134" t="s">
        <v>96</v>
      </c>
      <c r="D9" s="134" t="s">
        <v>97</v>
      </c>
      <c r="E9" s="134" t="s">
        <v>98</v>
      </c>
      <c r="F9" s="134" t="s">
        <v>96</v>
      </c>
      <c r="G9" s="134" t="s">
        <v>99</v>
      </c>
      <c r="H9" s="134"/>
      <c r="I9" s="134" t="s">
        <v>100</v>
      </c>
      <c r="J9" s="135" t="s">
        <v>101</v>
      </c>
      <c r="K9" s="135"/>
      <c r="L9" s="135"/>
      <c r="M9" s="139" t="s">
        <v>102</v>
      </c>
      <c r="N9" s="140" t="s">
        <v>103</v>
      </c>
      <c r="Z9"/>
      <c r="AA9"/>
    </row>
    <row r="10" spans="2:27" ht="25.5" hidden="1">
      <c r="B10" s="134" t="s">
        <v>95</v>
      </c>
      <c r="C10" s="134" t="s">
        <v>104</v>
      </c>
      <c r="D10" s="134" t="s">
        <v>99</v>
      </c>
      <c r="E10" s="134" t="s">
        <v>105</v>
      </c>
      <c r="F10" s="134" t="s">
        <v>91</v>
      </c>
      <c r="G10" s="134" t="s">
        <v>97</v>
      </c>
      <c r="H10" s="134"/>
      <c r="I10" s="134" t="s">
        <v>106</v>
      </c>
      <c r="J10" s="135" t="s">
        <v>78</v>
      </c>
      <c r="K10" s="135"/>
      <c r="L10" s="135"/>
      <c r="M10" s="139" t="s">
        <v>21</v>
      </c>
      <c r="N10" s="140" t="s">
        <v>22</v>
      </c>
      <c r="Z10"/>
      <c r="AA10"/>
    </row>
    <row r="11" spans="2:27" ht="15.75" hidden="1">
      <c r="B11" s="134" t="s">
        <v>95</v>
      </c>
      <c r="C11" s="134" t="s">
        <v>72</v>
      </c>
      <c r="D11" s="134" t="s">
        <v>97</v>
      </c>
      <c r="E11" s="134" t="s">
        <v>98</v>
      </c>
      <c r="F11" s="134" t="s">
        <v>72</v>
      </c>
      <c r="G11" s="134" t="s">
        <v>99</v>
      </c>
      <c r="H11" s="134"/>
      <c r="I11" s="134" t="s">
        <v>107</v>
      </c>
      <c r="J11" s="135" t="s">
        <v>101</v>
      </c>
      <c r="K11" s="135"/>
      <c r="L11" s="135"/>
      <c r="M11" s="139" t="s">
        <v>108</v>
      </c>
      <c r="N11" s="140" t="s">
        <v>109</v>
      </c>
      <c r="Z11"/>
      <c r="AA11"/>
    </row>
    <row r="12" spans="2:27" ht="15.75" hidden="1">
      <c r="B12" s="134" t="s">
        <v>95</v>
      </c>
      <c r="C12" s="134" t="s">
        <v>72</v>
      </c>
      <c r="D12" s="134" t="s">
        <v>99</v>
      </c>
      <c r="E12" s="134" t="s">
        <v>105</v>
      </c>
      <c r="F12" s="134" t="s">
        <v>82</v>
      </c>
      <c r="G12" s="134" t="s">
        <v>97</v>
      </c>
      <c r="H12" s="134"/>
      <c r="I12" s="134" t="s">
        <v>110</v>
      </c>
      <c r="J12" s="135" t="s">
        <v>78</v>
      </c>
      <c r="K12" s="135"/>
      <c r="L12" s="135"/>
      <c r="M12" s="139" t="s">
        <v>111</v>
      </c>
      <c r="N12" s="140" t="s">
        <v>112</v>
      </c>
    </row>
    <row r="13" spans="2:27" ht="15.75" hidden="1">
      <c r="B13" s="134" t="s">
        <v>95</v>
      </c>
      <c r="C13" s="134" t="s">
        <v>82</v>
      </c>
      <c r="D13" s="134" t="s">
        <v>113</v>
      </c>
      <c r="E13" s="134" t="s">
        <v>114</v>
      </c>
      <c r="F13" s="134" t="s">
        <v>87</v>
      </c>
      <c r="G13" s="134" t="s">
        <v>115</v>
      </c>
      <c r="H13" s="134"/>
      <c r="I13" s="134" t="s">
        <v>116</v>
      </c>
      <c r="J13" s="135" t="s">
        <v>93</v>
      </c>
      <c r="K13" s="135"/>
      <c r="L13" s="135"/>
      <c r="M13" s="139" t="s">
        <v>117</v>
      </c>
      <c r="N13" s="140" t="s">
        <v>118</v>
      </c>
    </row>
    <row r="14" spans="2:27" ht="15.75" hidden="1">
      <c r="B14" s="130" t="s">
        <v>119</v>
      </c>
      <c r="C14" s="130" t="s">
        <v>120</v>
      </c>
      <c r="D14" s="130" t="s">
        <v>121</v>
      </c>
      <c r="E14" s="130" t="s">
        <v>211</v>
      </c>
      <c r="F14" s="130" t="s">
        <v>91</v>
      </c>
      <c r="G14" s="130" t="s">
        <v>122</v>
      </c>
      <c r="H14" s="130"/>
      <c r="I14" s="130" t="s">
        <v>123</v>
      </c>
      <c r="J14" s="135" t="s">
        <v>78</v>
      </c>
      <c r="K14" s="135"/>
      <c r="L14" s="135"/>
      <c r="M14" s="139" t="s">
        <v>124</v>
      </c>
      <c r="N14" s="140" t="s">
        <v>125</v>
      </c>
    </row>
    <row r="15" spans="2:27" ht="15.75" hidden="1">
      <c r="B15" s="130" t="s">
        <v>126</v>
      </c>
      <c r="C15" s="130" t="s">
        <v>87</v>
      </c>
      <c r="D15" s="130" t="s">
        <v>127</v>
      </c>
      <c r="E15" s="130" t="s">
        <v>92</v>
      </c>
      <c r="F15" s="130" t="s">
        <v>128</v>
      </c>
      <c r="G15" s="130" t="s">
        <v>129</v>
      </c>
      <c r="H15" s="130"/>
      <c r="I15" s="130" t="s">
        <v>130</v>
      </c>
      <c r="J15" s="135" t="s">
        <v>131</v>
      </c>
      <c r="K15" s="135"/>
      <c r="M15" s="139" t="s">
        <v>132</v>
      </c>
      <c r="N15" s="140" t="s">
        <v>133</v>
      </c>
    </row>
    <row r="16" spans="2:27" ht="15.75">
      <c r="B16" s="130"/>
      <c r="C16" s="130"/>
      <c r="D16" s="130"/>
      <c r="E16" s="130"/>
      <c r="F16" s="130"/>
      <c r="G16" s="130"/>
      <c r="H16" s="130"/>
      <c r="I16" s="130"/>
      <c r="J16" s="135"/>
      <c r="K16" s="135"/>
      <c r="M16" s="139" t="s">
        <v>134</v>
      </c>
      <c r="N16" s="140" t="s">
        <v>135</v>
      </c>
    </row>
    <row r="17" spans="2:14" ht="15.75" hidden="1">
      <c r="B17" s="130" t="s">
        <v>126</v>
      </c>
      <c r="C17" s="130" t="s">
        <v>128</v>
      </c>
      <c r="D17" s="130" t="s">
        <v>136</v>
      </c>
      <c r="E17" s="130" t="s">
        <v>137</v>
      </c>
      <c r="F17" s="130" t="s">
        <v>138</v>
      </c>
      <c r="G17" s="130" t="s">
        <v>139</v>
      </c>
      <c r="H17" s="130"/>
      <c r="I17" s="130" t="s">
        <v>140</v>
      </c>
      <c r="J17" s="135" t="s">
        <v>141</v>
      </c>
      <c r="K17" s="135"/>
      <c r="M17" s="139" t="s">
        <v>142</v>
      </c>
      <c r="N17" s="140" t="s">
        <v>143</v>
      </c>
    </row>
    <row r="18" spans="2:14" ht="15.75" hidden="1">
      <c r="B18" s="130" t="s">
        <v>95</v>
      </c>
      <c r="C18" s="130" t="s">
        <v>82</v>
      </c>
      <c r="D18" s="130" t="s">
        <v>144</v>
      </c>
      <c r="E18" s="130" t="s">
        <v>145</v>
      </c>
      <c r="F18" s="130" t="s">
        <v>87</v>
      </c>
      <c r="G18" s="130" t="s">
        <v>146</v>
      </c>
      <c r="H18" s="130"/>
      <c r="I18" s="130" t="s">
        <v>147</v>
      </c>
      <c r="J18" s="135" t="s">
        <v>78</v>
      </c>
      <c r="K18" s="135"/>
      <c r="M18" s="139" t="s">
        <v>101</v>
      </c>
      <c r="N18" s="140" t="s">
        <v>148</v>
      </c>
    </row>
    <row r="19" spans="2:14" ht="15.75" hidden="1">
      <c r="B19" s="130" t="s">
        <v>95</v>
      </c>
      <c r="C19" s="130" t="s">
        <v>87</v>
      </c>
      <c r="D19" s="130" t="s">
        <v>113</v>
      </c>
      <c r="E19" s="130" t="s">
        <v>114</v>
      </c>
      <c r="F19" s="130" t="s">
        <v>128</v>
      </c>
      <c r="G19" s="130" t="s">
        <v>115</v>
      </c>
      <c r="H19" s="130"/>
      <c r="I19" s="130" t="s">
        <v>149</v>
      </c>
      <c r="J19" s="135" t="s">
        <v>93</v>
      </c>
      <c r="K19" s="135"/>
      <c r="M19" s="139" t="s">
        <v>25</v>
      </c>
      <c r="N19" s="140" t="s">
        <v>26</v>
      </c>
    </row>
    <row r="20" spans="2:14" ht="15.75" hidden="1">
      <c r="B20" s="130" t="s">
        <v>95</v>
      </c>
      <c r="C20" s="130" t="s">
        <v>87</v>
      </c>
      <c r="D20" s="130" t="s">
        <v>150</v>
      </c>
      <c r="E20" s="130" t="s">
        <v>151</v>
      </c>
      <c r="F20" s="130" t="s">
        <v>128</v>
      </c>
      <c r="G20" s="130" t="s">
        <v>152</v>
      </c>
      <c r="H20" s="130"/>
      <c r="I20" s="130" t="s">
        <v>153</v>
      </c>
      <c r="J20" s="135" t="s">
        <v>78</v>
      </c>
      <c r="K20" s="135"/>
      <c r="M20" s="139" t="s">
        <v>154</v>
      </c>
      <c r="N20" s="140" t="s">
        <v>155</v>
      </c>
    </row>
    <row r="21" spans="2:14" ht="15.75" hidden="1">
      <c r="B21" s="130" t="s">
        <v>156</v>
      </c>
      <c r="C21" s="130" t="s">
        <v>128</v>
      </c>
      <c r="D21" s="130" t="s">
        <v>157</v>
      </c>
      <c r="E21" s="130" t="s">
        <v>212</v>
      </c>
      <c r="F21" s="130" t="s">
        <v>138</v>
      </c>
      <c r="G21" s="130" t="s">
        <v>158</v>
      </c>
      <c r="H21" s="130"/>
      <c r="I21" s="130" t="s">
        <v>159</v>
      </c>
      <c r="J21" s="135" t="s">
        <v>78</v>
      </c>
      <c r="K21" s="135"/>
      <c r="M21" s="139" t="s">
        <v>160</v>
      </c>
      <c r="N21" s="140" t="s">
        <v>161</v>
      </c>
    </row>
    <row r="22" spans="2:14" ht="15.75">
      <c r="B22" s="130"/>
      <c r="C22" s="130"/>
      <c r="D22" s="130"/>
      <c r="E22" s="130"/>
      <c r="F22" s="130"/>
      <c r="G22" s="130"/>
      <c r="H22" s="130"/>
      <c r="I22" s="130"/>
      <c r="J22" s="135"/>
      <c r="K22" s="135"/>
      <c r="M22" s="139" t="s">
        <v>27</v>
      </c>
      <c r="N22" s="140" t="s">
        <v>28</v>
      </c>
    </row>
    <row r="23" spans="2:14" ht="15.75">
      <c r="B23" s="130"/>
      <c r="C23" s="130"/>
      <c r="D23" s="130"/>
      <c r="E23" s="130"/>
      <c r="F23" s="130"/>
      <c r="G23" s="130"/>
      <c r="H23" s="130"/>
      <c r="I23" s="130"/>
      <c r="J23" s="135"/>
      <c r="K23" s="135"/>
      <c r="M23" s="139" t="s">
        <v>162</v>
      </c>
      <c r="N23" s="140" t="s">
        <v>163</v>
      </c>
    </row>
    <row r="24" spans="2:14" ht="15.75">
      <c r="B24" s="130"/>
      <c r="C24" s="130"/>
      <c r="D24" s="130"/>
      <c r="E24" s="130"/>
      <c r="F24" s="130"/>
      <c r="G24" s="130"/>
      <c r="H24" s="130"/>
      <c r="I24" s="130"/>
      <c r="J24" s="135"/>
      <c r="K24" s="135"/>
      <c r="M24" s="139" t="s">
        <v>164</v>
      </c>
      <c r="N24" s="140" t="s">
        <v>165</v>
      </c>
    </row>
    <row r="25" spans="2:14" ht="15.75">
      <c r="B25" s="130"/>
      <c r="C25" s="130"/>
      <c r="D25" s="130"/>
      <c r="E25" s="130"/>
      <c r="F25" s="130"/>
      <c r="G25" s="130"/>
      <c r="H25" s="130"/>
      <c r="I25" s="130"/>
      <c r="J25" s="135"/>
      <c r="K25" s="135"/>
      <c r="M25" s="139" t="s">
        <v>29</v>
      </c>
      <c r="N25" s="140" t="s">
        <v>30</v>
      </c>
    </row>
    <row r="26" spans="2:14" ht="15.75">
      <c r="B26" s="130"/>
      <c r="C26" s="130"/>
      <c r="D26" s="130"/>
      <c r="E26" s="130"/>
      <c r="F26" s="130"/>
      <c r="G26" s="130"/>
      <c r="H26" s="130"/>
      <c r="I26" s="130"/>
      <c r="J26" s="135"/>
      <c r="K26" s="135"/>
      <c r="M26" s="139" t="s">
        <v>166</v>
      </c>
      <c r="N26" s="140" t="s">
        <v>167</v>
      </c>
    </row>
    <row r="27" spans="2:14" ht="15.75">
      <c r="B27" s="130"/>
      <c r="C27" s="130"/>
      <c r="D27" s="130"/>
      <c r="E27" s="130"/>
      <c r="F27" s="130"/>
      <c r="G27" s="130"/>
      <c r="H27" s="130"/>
      <c r="I27" s="130"/>
      <c r="J27" s="135"/>
      <c r="K27" s="135"/>
      <c r="M27" s="139" t="s">
        <v>31</v>
      </c>
      <c r="N27" s="140" t="s">
        <v>32</v>
      </c>
    </row>
    <row r="28" spans="2:14" ht="15.75">
      <c r="B28" s="130"/>
      <c r="C28" s="130"/>
      <c r="D28" s="130"/>
      <c r="E28" s="130"/>
      <c r="F28" s="130"/>
      <c r="G28" s="130"/>
      <c r="H28" s="130"/>
      <c r="I28" s="130"/>
      <c r="J28" s="135"/>
      <c r="K28" s="135"/>
      <c r="M28" s="139" t="s">
        <v>168</v>
      </c>
      <c r="N28" s="140" t="s">
        <v>169</v>
      </c>
    </row>
    <row r="29" spans="2:14" ht="15.75">
      <c r="B29" s="130"/>
      <c r="C29" s="130"/>
      <c r="D29" s="130"/>
      <c r="E29" s="130"/>
      <c r="F29" s="130"/>
      <c r="G29" s="130"/>
      <c r="H29" s="130"/>
      <c r="I29" s="130"/>
      <c r="J29" s="135"/>
      <c r="K29" s="135"/>
      <c r="M29" s="139" t="s">
        <v>170</v>
      </c>
      <c r="N29" s="140" t="s">
        <v>171</v>
      </c>
    </row>
    <row r="30" spans="2:14" ht="25.5">
      <c r="B30" s="130"/>
      <c r="C30" s="130"/>
      <c r="D30" s="130"/>
      <c r="E30" s="130"/>
      <c r="F30" s="130"/>
      <c r="G30" s="130"/>
      <c r="H30" s="130"/>
      <c r="I30" s="130"/>
      <c r="J30" s="135"/>
      <c r="K30" s="135"/>
      <c r="M30" s="139" t="s">
        <v>33</v>
      </c>
      <c r="N30" s="140" t="s">
        <v>34</v>
      </c>
    </row>
    <row r="31" spans="2:14" ht="15.75">
      <c r="B31" s="130"/>
      <c r="C31" s="130"/>
      <c r="D31" s="130"/>
      <c r="E31" s="130"/>
      <c r="F31" s="130"/>
      <c r="G31" s="130"/>
      <c r="H31" s="130"/>
      <c r="I31" s="130"/>
      <c r="J31" s="135"/>
      <c r="K31" s="135"/>
      <c r="M31" s="139" t="s">
        <v>172</v>
      </c>
      <c r="N31" s="140" t="s">
        <v>173</v>
      </c>
    </row>
    <row r="32" spans="2:14" ht="15.75">
      <c r="B32" s="130"/>
      <c r="C32" s="130"/>
      <c r="D32" s="130"/>
      <c r="E32" s="130"/>
      <c r="F32" s="130"/>
      <c r="G32" s="130"/>
      <c r="H32" s="130"/>
      <c r="I32" s="130"/>
      <c r="J32" s="135"/>
      <c r="K32" s="135"/>
      <c r="M32" s="139" t="s">
        <v>35</v>
      </c>
      <c r="N32" s="140" t="s">
        <v>36</v>
      </c>
    </row>
    <row r="33" spans="2:14" ht="15.75">
      <c r="B33" s="130"/>
      <c r="C33" s="130"/>
      <c r="D33" s="130"/>
      <c r="E33" s="130"/>
      <c r="F33" s="130"/>
      <c r="G33" s="130"/>
      <c r="H33" s="130"/>
      <c r="I33" s="130"/>
      <c r="J33" s="135"/>
      <c r="K33" s="135"/>
      <c r="M33" s="139" t="s">
        <v>37</v>
      </c>
      <c r="N33" s="140" t="s">
        <v>38</v>
      </c>
    </row>
    <row r="34" spans="2:14" ht="15.75">
      <c r="B34" s="130"/>
      <c r="C34" s="130"/>
      <c r="D34" s="130"/>
      <c r="E34" s="130"/>
      <c r="F34" s="130"/>
      <c r="G34" s="130"/>
      <c r="H34" s="130"/>
      <c r="I34" s="130"/>
      <c r="J34" s="135"/>
      <c r="K34" s="135"/>
      <c r="M34" s="139" t="s">
        <v>23</v>
      </c>
      <c r="N34" s="140" t="s">
        <v>24</v>
      </c>
    </row>
    <row r="35" spans="2:14" ht="15.75">
      <c r="B35" s="130"/>
      <c r="C35" s="130"/>
      <c r="D35" s="130"/>
      <c r="E35" s="130"/>
      <c r="F35" s="130"/>
      <c r="G35" s="130"/>
      <c r="H35" s="130"/>
      <c r="I35" s="130"/>
      <c r="J35" s="135"/>
      <c r="K35" s="135"/>
      <c r="M35" s="139" t="s">
        <v>78</v>
      </c>
      <c r="N35" s="140" t="s">
        <v>174</v>
      </c>
    </row>
    <row r="36" spans="2:14" ht="15.75">
      <c r="B36" s="130"/>
      <c r="C36" s="130"/>
      <c r="D36" s="130"/>
      <c r="E36" s="130"/>
      <c r="F36" s="130"/>
      <c r="G36" s="130"/>
      <c r="H36" s="130"/>
      <c r="I36" s="130"/>
      <c r="J36" s="135"/>
      <c r="K36" s="135"/>
      <c r="M36" s="139" t="s">
        <v>39</v>
      </c>
      <c r="N36" s="140" t="s">
        <v>40</v>
      </c>
    </row>
    <row r="37" spans="2:14" ht="15.75">
      <c r="B37" s="130"/>
      <c r="C37" s="130"/>
      <c r="D37" s="130"/>
      <c r="E37" s="130"/>
      <c r="F37" s="130"/>
      <c r="G37" s="130"/>
      <c r="H37" s="130"/>
      <c r="I37" s="130"/>
      <c r="J37" s="135"/>
      <c r="K37" s="135"/>
      <c r="M37" s="139" t="s">
        <v>175</v>
      </c>
      <c r="N37" s="140" t="s">
        <v>176</v>
      </c>
    </row>
    <row r="38" spans="2:14">
      <c r="M38" s="139" t="s">
        <v>177</v>
      </c>
      <c r="N38" s="140" t="s">
        <v>178</v>
      </c>
    </row>
    <row r="39" spans="2:14">
      <c r="M39" s="139" t="s">
        <v>55</v>
      </c>
      <c r="N39" s="140" t="s">
        <v>56</v>
      </c>
    </row>
    <row r="40" spans="2:14">
      <c r="M40" s="139" t="s">
        <v>41</v>
      </c>
      <c r="N40" s="140" t="s">
        <v>42</v>
      </c>
    </row>
    <row r="41" spans="2:14">
      <c r="M41" s="139" t="s">
        <v>43</v>
      </c>
      <c r="N41" s="140" t="s">
        <v>44</v>
      </c>
    </row>
    <row r="42" spans="2:14">
      <c r="M42" s="139" t="s">
        <v>179</v>
      </c>
      <c r="N42" s="140" t="s">
        <v>180</v>
      </c>
    </row>
    <row r="43" spans="2:14">
      <c r="M43" s="139" t="s">
        <v>181</v>
      </c>
      <c r="N43" s="140" t="s">
        <v>182</v>
      </c>
    </row>
    <row r="44" spans="2:14">
      <c r="M44" s="139" t="s">
        <v>183</v>
      </c>
      <c r="N44" s="140" t="s">
        <v>184</v>
      </c>
    </row>
    <row r="45" spans="2:14">
      <c r="M45" s="139" t="s">
        <v>185</v>
      </c>
      <c r="N45" s="140" t="s">
        <v>186</v>
      </c>
    </row>
    <row r="46" spans="2:14">
      <c r="M46" s="139" t="s">
        <v>45</v>
      </c>
      <c r="N46" s="140" t="s">
        <v>46</v>
      </c>
    </row>
    <row r="47" spans="2:14">
      <c r="M47" s="139" t="s">
        <v>47</v>
      </c>
      <c r="N47" s="140" t="s">
        <v>48</v>
      </c>
    </row>
    <row r="48" spans="2:14">
      <c r="M48" s="139" t="s">
        <v>49</v>
      </c>
      <c r="N48" s="140" t="s">
        <v>50</v>
      </c>
    </row>
    <row r="49" spans="13:14">
      <c r="M49" s="139" t="s">
        <v>187</v>
      </c>
      <c r="N49" s="140" t="s">
        <v>188</v>
      </c>
    </row>
    <row r="50" spans="13:14" ht="25.5">
      <c r="M50" s="139" t="s">
        <v>57</v>
      </c>
      <c r="N50" s="140" t="s">
        <v>189</v>
      </c>
    </row>
    <row r="51" spans="13:14">
      <c r="M51" s="141" t="s">
        <v>162</v>
      </c>
      <c r="N51" s="142" t="s">
        <v>163</v>
      </c>
    </row>
  </sheetData>
  <mergeCells count="1">
    <mergeCell ref="E1:H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8</xdr:col>
                <xdr:colOff>57150</xdr:colOff>
                <xdr:row>0</xdr:row>
                <xdr:rowOff>19050</xdr:rowOff>
              </from>
              <to>
                <xdr:col>9</xdr:col>
                <xdr:colOff>247650</xdr:colOff>
                <xdr:row>0</xdr:row>
                <xdr:rowOff>285750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A590D-E109-48E5-A4E8-CE9AE38C2E4F}">
  <sheetPr codeName="Arkusz3"/>
  <dimension ref="A1:CK9"/>
  <sheetViews>
    <sheetView topLeftCell="AR1" workbookViewId="0">
      <selection activeCell="BP7" sqref="BP7"/>
    </sheetView>
  </sheetViews>
  <sheetFormatPr defaultRowHeight="12.75"/>
  <cols>
    <col min="1" max="1" width="9.140625" style="19"/>
    <col min="2" max="2" width="9.140625" style="109"/>
    <col min="3" max="3" width="9.140625" style="21"/>
    <col min="4" max="4" width="9.140625" style="20"/>
    <col min="5" max="5" width="9.140625" style="109"/>
    <col min="6" max="6" width="9.140625" style="21"/>
    <col min="7" max="7" width="9.140625" style="20"/>
    <col min="8" max="8" width="20.42578125" style="20" customWidth="1"/>
    <col min="9" max="9" width="9.140625" style="22"/>
    <col min="11" max="14" width="9.140625" style="20"/>
    <col min="15" max="15" width="9.140625" style="109"/>
    <col min="16" max="19" width="9.140625" style="20"/>
    <col min="21" max="24" width="9.140625" style="20"/>
    <col min="25" max="25" width="9.140625" style="109"/>
    <col min="26" max="29" width="9.140625" style="20"/>
    <col min="31" max="34" width="9.140625" style="20"/>
    <col min="35" max="35" width="9.140625" style="109"/>
    <col min="36" max="39" width="9.140625" style="20"/>
    <col min="41" max="44" width="9.140625" style="20"/>
    <col min="45" max="45" width="9.140625" style="109"/>
    <col min="46" max="49" width="9.140625" style="20"/>
    <col min="51" max="54" width="9.140625" style="20"/>
    <col min="55" max="55" width="9.140625" style="109"/>
    <col min="56" max="59" width="9.140625" style="20"/>
    <col min="61" max="64" width="9.140625" style="20"/>
    <col min="65" max="65" width="9.140625" style="109"/>
    <col min="66" max="69" width="9.140625" style="20"/>
    <col min="71" max="74" width="9.140625" style="20"/>
    <col min="75" max="75" width="9.140625" style="109"/>
    <col min="76" max="79" width="9.140625" style="20"/>
    <col min="81" max="89" width="9.140625" style="20"/>
  </cols>
  <sheetData>
    <row r="1" spans="1:89" ht="15.75">
      <c r="A1" s="16" t="s">
        <v>60</v>
      </c>
      <c r="B1" s="108" t="s">
        <v>61</v>
      </c>
      <c r="C1" s="17" t="s">
        <v>62</v>
      </c>
      <c r="D1" s="17" t="s">
        <v>63</v>
      </c>
      <c r="E1" s="108" t="s">
        <v>64</v>
      </c>
      <c r="F1" s="17" t="s">
        <v>65</v>
      </c>
      <c r="G1" s="17" t="s">
        <v>190</v>
      </c>
      <c r="H1" s="17" t="s">
        <v>67</v>
      </c>
      <c r="I1" s="18"/>
      <c r="K1" s="16" t="s">
        <v>60</v>
      </c>
      <c r="L1" s="23" t="s">
        <v>61</v>
      </c>
      <c r="M1" s="17" t="s">
        <v>62</v>
      </c>
      <c r="N1" s="17" t="s">
        <v>63</v>
      </c>
      <c r="O1" s="108" t="s">
        <v>64</v>
      </c>
      <c r="P1" s="17" t="s">
        <v>65</v>
      </c>
      <c r="Q1" s="17" t="s">
        <v>190</v>
      </c>
      <c r="R1" s="17" t="s">
        <v>67</v>
      </c>
      <c r="S1" s="18"/>
      <c r="U1" s="16" t="s">
        <v>60</v>
      </c>
      <c r="V1" s="23" t="s">
        <v>61</v>
      </c>
      <c r="W1" s="17" t="s">
        <v>62</v>
      </c>
      <c r="X1" s="17" t="s">
        <v>63</v>
      </c>
      <c r="Y1" s="108" t="s">
        <v>64</v>
      </c>
      <c r="Z1" s="17" t="s">
        <v>65</v>
      </c>
      <c r="AA1" s="17" t="s">
        <v>190</v>
      </c>
      <c r="AB1" s="17" t="s">
        <v>67</v>
      </c>
      <c r="AC1" s="18"/>
      <c r="AE1" s="16" t="s">
        <v>60</v>
      </c>
      <c r="AF1" s="23" t="s">
        <v>61</v>
      </c>
      <c r="AG1" s="17" t="s">
        <v>62</v>
      </c>
      <c r="AH1" s="17" t="s">
        <v>63</v>
      </c>
      <c r="AI1" s="108" t="s">
        <v>64</v>
      </c>
      <c r="AJ1" s="17" t="s">
        <v>65</v>
      </c>
      <c r="AK1" s="17" t="s">
        <v>190</v>
      </c>
      <c r="AL1" s="17" t="s">
        <v>67</v>
      </c>
      <c r="AM1" s="18"/>
      <c r="AO1" s="16" t="s">
        <v>60</v>
      </c>
      <c r="AP1" s="23" t="s">
        <v>61</v>
      </c>
      <c r="AQ1" s="17" t="s">
        <v>62</v>
      </c>
      <c r="AR1" s="17" t="s">
        <v>63</v>
      </c>
      <c r="AS1" s="108" t="s">
        <v>64</v>
      </c>
      <c r="AT1" s="17" t="s">
        <v>65</v>
      </c>
      <c r="AU1" s="17" t="s">
        <v>190</v>
      </c>
      <c r="AV1" s="17" t="s">
        <v>67</v>
      </c>
      <c r="AW1" s="18"/>
      <c r="AY1" s="16" t="s">
        <v>60</v>
      </c>
      <c r="AZ1" s="23" t="s">
        <v>61</v>
      </c>
      <c r="BA1" s="17" t="s">
        <v>62</v>
      </c>
      <c r="BB1" s="17" t="s">
        <v>63</v>
      </c>
      <c r="BC1" s="108" t="s">
        <v>64</v>
      </c>
      <c r="BD1" s="17" t="s">
        <v>65</v>
      </c>
      <c r="BE1" s="17" t="s">
        <v>190</v>
      </c>
      <c r="BF1" s="17" t="s">
        <v>67</v>
      </c>
      <c r="BG1" s="18"/>
      <c r="BI1" s="16" t="s">
        <v>60</v>
      </c>
      <c r="BJ1" s="23" t="s">
        <v>61</v>
      </c>
      <c r="BK1" s="17" t="s">
        <v>62</v>
      </c>
      <c r="BL1" s="17" t="s">
        <v>63</v>
      </c>
      <c r="BM1" s="108" t="s">
        <v>64</v>
      </c>
      <c r="BN1" s="17" t="s">
        <v>65</v>
      </c>
      <c r="BO1" s="17" t="s">
        <v>190</v>
      </c>
      <c r="BP1" s="17" t="s">
        <v>67</v>
      </c>
      <c r="BQ1" s="18"/>
      <c r="BS1" s="16" t="s">
        <v>60</v>
      </c>
      <c r="BT1" s="23" t="s">
        <v>61</v>
      </c>
      <c r="BU1" s="17" t="s">
        <v>62</v>
      </c>
      <c r="BV1" s="17" t="s">
        <v>63</v>
      </c>
      <c r="BW1" s="108" t="s">
        <v>64</v>
      </c>
      <c r="BX1" s="17" t="s">
        <v>65</v>
      </c>
      <c r="BY1" s="17" t="s">
        <v>190</v>
      </c>
      <c r="BZ1" s="17" t="s">
        <v>67</v>
      </c>
      <c r="CA1" s="18"/>
      <c r="CC1" s="16" t="s">
        <v>60</v>
      </c>
      <c r="CD1" s="23" t="s">
        <v>61</v>
      </c>
      <c r="CE1" s="17" t="s">
        <v>62</v>
      </c>
      <c r="CF1" s="17" t="s">
        <v>63</v>
      </c>
      <c r="CG1" s="23" t="s">
        <v>64</v>
      </c>
      <c r="CH1" s="17" t="s">
        <v>65</v>
      </c>
      <c r="CI1" s="17" t="s">
        <v>190</v>
      </c>
      <c r="CJ1" s="17" t="s">
        <v>67</v>
      </c>
      <c r="CK1" s="18"/>
    </row>
    <row r="2" spans="1:89" ht="27" customHeight="1">
      <c r="A2" s="19" t="str" cm="1">
        <f t="array" ref="A2:J4">_xlfn._xlws.FILTER(LISTA_TRASEK[],(LISTA_TRASEK[autko]="FZ0691T"),"BRAK WPISANYCH TRASEK")</f>
        <v>FZ0691T</v>
      </c>
      <c r="B2" s="109" t="str">
        <v>03.01.2025</v>
      </c>
      <c r="C2" s="21" t="str">
        <v>Miasto: Słubice
Kod pocztowy: 69-100
Kraj: Polska</v>
      </c>
      <c r="D2" s="20" t="str">
        <v>69-100 - 85586</v>
      </c>
      <c r="E2" s="109" t="str">
        <v>04.01.2025</v>
      </c>
      <c r="F2" s="21" t="str">
        <v>Miasto: Poing
Kod pocztowy: 85586
Kraj: Niemcy</v>
      </c>
      <c r="G2" s="20">
        <v>0</v>
      </c>
      <c r="H2" s="20" t="str">
        <v>https://www.jotform.com/uploads/OliwiaPaczkowska/243251272684356/6120520429819742307/Zdj%C4%99cie%20WhatsApp%202025-01-04%20o%2007.54.31_39aae145.jpg</v>
      </c>
      <c r="I2" s="22" t="str">
        <v>Niemcy</v>
      </c>
      <c r="J2">
        <v>0</v>
      </c>
      <c r="K2" s="19" t="str" cm="1">
        <f t="array" ref="K2:T9">_xlfn._xlws.FILTER(LISTA_TRASEK[],(LISTA_TRASEK[autko]="FZ1936S"),"BRAK WPISANYCH TRASEK")</f>
        <v>FZ1936S</v>
      </c>
      <c r="L2" s="24" t="str">
        <v>31.12.2024</v>
      </c>
      <c r="M2" s="21" t="str">
        <v>Miasto: Eime_x000D_
Kod pocztowy: 31036_x000D_
Kraj: Niemcy</v>
      </c>
      <c r="N2" s="20" t="str">
        <v>31036_x000D_ - 95000_x000D_</v>
      </c>
      <c r="O2" s="109" t="str">
        <v>31.12.2024</v>
      </c>
      <c r="P2" s="21" t="str">
        <v>Miasto: Neuville-sur-Oise_x000D_
Kod pocztowy: 95000_x000D_
Kraj: Francja</v>
      </c>
      <c r="Q2" s="20">
        <v>0</v>
      </c>
      <c r="R2" s="20" t="str">
        <v>https://www.jotform.com/uploads/OliwiaPaczkowska/243251272684356/6120555019817591987/Zdj%C4%99cie%20WhatsApp%202024-12-31%20o%2013.46.12_bcd5a916.jpg</v>
      </c>
      <c r="S2" s="22" t="str">
        <v>Francja</v>
      </c>
      <c r="T2">
        <v>0</v>
      </c>
      <c r="U2" s="19" t="str" cm="1">
        <f t="array" ref="U2">_xlfn._xlws.FILTER(LISTA_TRASEK[],(LISTA_TRASEK[autko]="FZ0464U"),"BRAK WPISANYCH TRASEK")</f>
        <v>BRAK WPISANYCH TRASEK</v>
      </c>
      <c r="V2" s="24"/>
      <c r="W2" s="21"/>
      <c r="Z2" s="21"/>
      <c r="AC2" s="22"/>
      <c r="AE2" s="19" t="str" cm="1">
        <f t="array" ref="AE2:AN2">_xlfn._xlws.FILTER(LISTA_TRASEK[],(LISTA_TRASEK[autko]="FZ0693T"),"BRAK WPISANYCH TRASEK")</f>
        <v>FZ0693T</v>
      </c>
      <c r="AF2" s="24" t="str">
        <v>08.01.2025</v>
      </c>
      <c r="AG2" s="21" t="str">
        <v>Miasto: Oosterhout
Kod pocztowy: 4906
Kraj: Holandia</v>
      </c>
      <c r="AH2" s="20" t="str">
        <v>4906 - 80331_x000D_</v>
      </c>
      <c r="AI2" s="109" t="str">
        <v>09.01.2025</v>
      </c>
      <c r="AJ2" s="21" t="str">
        <v>Miasto: Monachium_x000D_
Kod pocztowy: 80331_x000D_
Kraj: Niemcy</v>
      </c>
      <c r="AK2" s="20">
        <v>0</v>
      </c>
      <c r="AL2" s="20" t="str">
        <v>https://www.jotform.com/uploads/OliwiaPaczkowska/243251272684356/6122391129812748871/Zdj%C4%99cie%20WhatsApp%202025-01-09%20o%2012.11.55_a5f0ca2c.jpg
https://www.jotform.com/uploads/OliwiaPaczkowska/243251272684356/6122391129812748871/Zdj%C4%99cie%20WhatsApp%202025-01-09%20o%2012.12.05_a6ba3ffb.jpg</v>
      </c>
      <c r="AM2" s="22" t="str">
        <v>Niemcy</v>
      </c>
      <c r="AN2">
        <v>0</v>
      </c>
      <c r="AO2" s="19" t="str" cm="1">
        <f t="array" ref="AO2">_xlfn._xlws.FILTER(LISTA_TRASEK[],(LISTA_TRASEK[autko]="FZ0414T"),"BRAK WPISANYCH TRASEK")</f>
        <v>BRAK WPISANYCH TRASEK</v>
      </c>
      <c r="AP2" s="24"/>
      <c r="AQ2" s="21"/>
      <c r="AT2" s="21"/>
      <c r="AW2" s="22"/>
      <c r="AY2" s="19" t="str" cm="1">
        <f t="array" ref="AY2:BH2">_xlfn._xlws.FILTER(LISTA_TRASEK[],(LISTA_TRASEK[autko]="FZ0692T"),"BRAK WPISANYCH TRASEK")</f>
        <v>FZ0692T</v>
      </c>
      <c r="AZ2" s="24" t="str">
        <v>30.12.2024</v>
      </c>
      <c r="BA2" s="21" t="str">
        <v>Miasto: Kloten
Kod pocztowy: 8058
Kraj: Szwajcaria</v>
      </c>
      <c r="BB2" s="20" t="str">
        <v>8058 - 21079_x000D_</v>
      </c>
      <c r="BC2" s="109" t="str">
        <v>02.01.2025</v>
      </c>
      <c r="BD2" s="21" t="str">
        <v>Miasto: Hamburg_x000D_
Kod pocztowy: 21079_x000D_
Kraj: Niemcy</v>
      </c>
      <c r="BE2" s="20">
        <v>0</v>
      </c>
      <c r="BF2" s="20" t="str">
        <v>https://www.jotform.com/uploads/OliwiaPaczkowska/243251272684356/6120579039812173627/Zdj%C4%99cie%20WhatsApp%202024-12-30%20o%2011.23.44_c53fa6e7.jpg
https://www.jotform.com/uploads/OliwiaPaczkowska/243251272684356/6120579039812173627/Zdj%C4%99cie%20WhatsApp%202024-12-30%20o%2011.24.46_dbb48c59.jpg
https://www.jotform.com/uploads/OliwiaPaczkowska/243251272684356/6120579039812173627/Zdj%C4%99cie%20WhatsApp%202024-12-30%20o%2011.25.01_bb82a62b.jpg
https://www.jotform.com/uploads/OliwiaPaczkowska/243251272684356/6120579039812173627/Zdj%C4%99cie%20WhatsApp%202025-01-02%20o%2006.24.23_b5fb2d3c.jpg
https://www.jotform.com/uploads/OliwiaPaczkowska/243251272684356/6120579039812173627/Zdj%C4%99cie%20WhatsApp%202025-01-02%20o%2006.24.23_5ce3d793.jpg
https://www.jotform.com/uploads/OliwiaPaczkowska/243251272684356/6120579039812173627/Zdj%C4%99cie%20WhatsApp%202025-01-02%20o%2013.44.52_369b127c.jpg</v>
      </c>
      <c r="BG2" s="22" t="str">
        <v>Niemcy</v>
      </c>
      <c r="BH2">
        <v>0</v>
      </c>
      <c r="BI2" s="19" t="str" cm="1">
        <f t="array" ref="BI2:BR3">_xlfn._xlws.FILTER(LISTA_TRASEK[],(LISTA_TRASEK[autko]="WPR8503P"),"BRAK WPISANYCH TRASEK")</f>
        <v>WPR8503P</v>
      </c>
      <c r="BJ2" s="24" t="str">
        <v>07.01.2025</v>
      </c>
      <c r="BK2" s="21" t="str">
        <v>Miasto: Zielona Góra_x000D_
Kod pocztowy: 66-002_x000D_
Kraj: Польша</v>
      </c>
      <c r="BL2" s="20" t="str">
        <v>66-002_x000D_ - 8500_x000D_</v>
      </c>
      <c r="BM2" s="109" t="str">
        <v>08.01.2025</v>
      </c>
      <c r="BN2" s="21" t="str">
        <v>Miasto: Frauenfeld_x000D_
Kod pocztowy: 8500_x000D_
Kraj: Швейцария</v>
      </c>
      <c r="BO2" s="20">
        <v>0</v>
      </c>
      <c r="BP2" s="20" t="str">
        <v>https://www.jotform.com/uploads/OliwiaPaczkowska/243251272684356/6121455991218391008/image.jpg</v>
      </c>
      <c r="BQ2" s="22" t="str">
        <v>Швейцария</v>
      </c>
      <c r="BR2">
        <v>0</v>
      </c>
      <c r="BS2" s="19" t="str" cm="1">
        <f t="array" ref="BS2">_xlfn._xlws.FILTER(LISTA_TRASEK[],(LISTA_TRASEK[autko]="FZ0296S"),"BRAK WPISANYCH TRASEK")</f>
        <v>BRAK WPISANYCH TRASEK</v>
      </c>
      <c r="BT2" s="24"/>
      <c r="BU2" s="21"/>
      <c r="BX2" s="21"/>
      <c r="CA2" s="22"/>
      <c r="CC2" s="19"/>
      <c r="CD2" s="24"/>
      <c r="CE2" s="21"/>
      <c r="CG2" s="24"/>
      <c r="CH2" s="21"/>
      <c r="CK2" s="22"/>
    </row>
    <row r="3" spans="1:89" ht="21.75" customHeight="1">
      <c r="A3" s="19" t="str">
        <v>FZ0691T</v>
      </c>
      <c r="B3" s="109" t="str">
        <v>05.01.2025</v>
      </c>
      <c r="C3" s="21" t="str">
        <v>Miasto: Freising_x000D_
Kod pocztowy: 85356_x000D_
Kraj: Niemcy</v>
      </c>
      <c r="D3" s="20" t="str">
        <v>85356_x000D_ - 8424_x000D_</v>
      </c>
      <c r="E3" s="109" t="str">
        <v>06.01.2025</v>
      </c>
      <c r="F3" s="21" t="str">
        <v>Miasto: Embrach_x000D_
Kod pocztowy: 8424_x000D_
Kraj: Szwajcaria</v>
      </c>
      <c r="G3" s="20">
        <v>0</v>
      </c>
      <c r="H3" s="20" t="str">
        <v>https://www.jotform.com/uploads/OliwiaPaczkowska/243251272684356/6120524929812072777/Zdj%C4%99cie%20WhatsApp%202025-01-06%20o%2011.02.22_470326ff.jpg</v>
      </c>
      <c r="I3" s="22" t="str">
        <v>Szwajcaria</v>
      </c>
      <c r="J3">
        <v>0</v>
      </c>
      <c r="K3" s="19" t="str">
        <v>FZ1936S</v>
      </c>
      <c r="L3" s="24" t="str">
        <v>31.01.2025</v>
      </c>
      <c r="M3" s="21" t="str">
        <v>Miasto: Neuville-sur-Oise_x000D_
Kod pocztowy: 95000_x000D_
Kraj: Francja</v>
      </c>
      <c r="N3" s="20" t="str">
        <v>95000_x000D_ - 31036_x000D_</v>
      </c>
      <c r="O3" s="109" t="str">
        <v>02.01.2025</v>
      </c>
      <c r="P3" s="21" t="str">
        <v>Miasto: Eime_x000D_
Kod pocztowy: 31036_x000D_
Kraj: Niemcy</v>
      </c>
      <c r="Q3" s="20">
        <v>0</v>
      </c>
      <c r="R3" s="20" t="str">
        <v>https://www.jotform.com/uploads/OliwiaPaczkowska/243251272684356/6120556759815198730/Zdj%C4%99cie%20WhatsApp%202025-01-02%20o%2009.07.35_86bc2e6b.jpg</v>
      </c>
      <c r="S3" s="22" t="str">
        <v>Niemcy</v>
      </c>
      <c r="T3">
        <v>0</v>
      </c>
      <c r="U3" s="19"/>
      <c r="V3" s="24"/>
      <c r="W3" s="21"/>
      <c r="Z3" s="21"/>
      <c r="AC3" s="22"/>
      <c r="AE3" s="19"/>
      <c r="AF3" s="24"/>
      <c r="AG3" s="21"/>
      <c r="AJ3" s="21"/>
      <c r="AM3" s="22"/>
      <c r="AO3" s="19"/>
      <c r="AP3" s="24"/>
      <c r="AQ3" s="21"/>
      <c r="AT3" s="21"/>
      <c r="AW3" s="22"/>
      <c r="AY3" s="19"/>
      <c r="AZ3" s="24"/>
      <c r="BA3" s="21"/>
      <c r="BD3" s="21"/>
      <c r="BG3" s="22"/>
      <c r="BI3" s="19" t="str">
        <v>WPR8503P</v>
      </c>
      <c r="BJ3" s="24" t="str">
        <v>08.01.2025</v>
      </c>
      <c r="BK3" s="21" t="str">
        <v>Miasto: Pfungen_x000D_
Kod pocztowy: 8422_x000D_
Kraj: Швейцария</v>
      </c>
      <c r="BL3" s="20" t="str">
        <v>8422_x000D_ - 66002</v>
      </c>
      <c r="BM3" s="109" t="str">
        <v>09.01.2025</v>
      </c>
      <c r="BN3" s="21" t="str">
        <v>Miasto: Zielona Góra
Kod pocztowy: 66002
Kraj: Польша</v>
      </c>
      <c r="BO3" s="20">
        <v>0</v>
      </c>
      <c r="BP3" s="20" t="str">
        <v>https://www.jotform.com/uploads/OliwiaPaczkowska/243251272684356/6122352373213086605/image.jpg</v>
      </c>
      <c r="BQ3" s="22" t="str">
        <v>Польша</v>
      </c>
      <c r="BR3">
        <v>0</v>
      </c>
      <c r="BS3" s="19"/>
      <c r="BT3" s="24"/>
      <c r="BU3" s="21"/>
      <c r="BX3" s="21"/>
      <c r="CA3" s="22"/>
      <c r="CC3" s="19"/>
      <c r="CD3" s="24"/>
      <c r="CE3" s="21"/>
      <c r="CG3" s="24"/>
      <c r="CH3" s="21"/>
      <c r="CK3" s="22"/>
    </row>
    <row r="4" spans="1:89" ht="21.75" customHeight="1">
      <c r="A4" s="19" t="str">
        <v>FZ0691T</v>
      </c>
      <c r="B4" s="109" t="str">
        <v>06.01.2025</v>
      </c>
      <c r="C4" s="21" t="str">
        <v>Miasto: Saint Margrethen_x000D_
Kod pocztowy: 9430_x000D_
Kraj: Szwajcaria</v>
      </c>
      <c r="D4" s="20" t="str">
        <v>9430_x000D_ - 92637_x000D_</v>
      </c>
      <c r="E4" s="109" t="str">
        <v>07.01.2025</v>
      </c>
      <c r="F4" s="21" t="str">
        <v>Miasto: Weiden in der Oberpfalz_x000D_
Kod pocztowy: 92637_x000D_
Kraj: Niemcy</v>
      </c>
      <c r="G4" s="20">
        <v>0</v>
      </c>
      <c r="H4" s="20" t="str">
        <v>https://www.jotform.com/uploads/OliwiaPaczkowska/243251272684356/6120526879819504062/Zdj%C4%99cie%20WhatsApp%202025-01-07%20o%2008.23.45_82054bf4.jpg
https://www.jotform.com/uploads/OliwiaPaczkowska/243251272684356/6120526879819504062/Zdj%C4%99cie%20WhatsApp%202025-01-07%20o%2009.28.30_6eec5fcb.jpg</v>
      </c>
      <c r="I4" s="22" t="str">
        <v>Niemcy</v>
      </c>
      <c r="J4">
        <v>0</v>
      </c>
      <c r="K4" s="19" t="str">
        <v>FZ1936S</v>
      </c>
      <c r="L4" s="24" t="str">
        <v>03.01.2025</v>
      </c>
      <c r="M4" s="21" t="str">
        <v>Miasto: Eime_x000D_
Kod pocztowy: 31036_x000D_
Kraj: Niemcy</v>
      </c>
      <c r="N4" s="20" t="str">
        <v>31036_x000D_ - 95000_x000D_</v>
      </c>
      <c r="O4" s="109" t="str">
        <v>03.01.2025</v>
      </c>
      <c r="P4" s="21" t="str">
        <v>Miasto: Neuville-sur-Oise_x000D_
Kod pocztowy: 95000_x000D_
Kraj: Francja</v>
      </c>
      <c r="Q4" s="20">
        <v>0</v>
      </c>
      <c r="R4" s="20" t="str">
        <v>https://www.jotform.com/uploads/OliwiaPaczkowska/243251272684356/6120558009816240190/Zdj%C4%99cie%20WhatsApp%202025-01-03%20o%2014.39.15_b9322715.jpg</v>
      </c>
      <c r="S4" s="22" t="str">
        <v>Francja</v>
      </c>
      <c r="T4">
        <v>0</v>
      </c>
      <c r="U4" s="19"/>
      <c r="V4" s="24"/>
      <c r="W4" s="21"/>
      <c r="Z4" s="21"/>
      <c r="AC4" s="22"/>
      <c r="AE4" s="19"/>
      <c r="AF4" s="24"/>
      <c r="AG4" s="21"/>
      <c r="AJ4" s="21"/>
      <c r="AM4" s="22"/>
      <c r="AO4" s="19"/>
      <c r="AP4" s="24"/>
      <c r="AQ4" s="21"/>
      <c r="AT4" s="21"/>
      <c r="AW4" s="22"/>
      <c r="AY4" s="19"/>
      <c r="AZ4" s="24"/>
      <c r="BA4" s="21"/>
      <c r="BD4" s="21"/>
      <c r="BG4" s="22"/>
      <c r="BI4" s="19"/>
      <c r="BJ4" s="24"/>
      <c r="BK4" s="21"/>
      <c r="BN4" s="21"/>
      <c r="BQ4" s="22"/>
      <c r="BS4" s="19"/>
      <c r="BT4" s="24"/>
      <c r="BU4" s="21"/>
      <c r="BX4" s="21"/>
      <c r="CA4" s="22"/>
      <c r="CC4" s="19"/>
      <c r="CD4" s="24"/>
      <c r="CE4" s="21"/>
      <c r="CG4" s="24"/>
      <c r="CH4" s="21"/>
      <c r="CK4" s="22"/>
    </row>
    <row r="5" spans="1:89" s="27" customFormat="1" ht="21.75" customHeight="1">
      <c r="A5" s="25"/>
      <c r="B5" s="109"/>
      <c r="C5" s="24"/>
      <c r="D5" s="24"/>
      <c r="E5" s="109"/>
      <c r="F5" s="24"/>
      <c r="G5" s="24"/>
      <c r="H5" s="24"/>
      <c r="I5" s="26"/>
      <c r="K5" s="25" t="str">
        <v>FZ1936S</v>
      </c>
      <c r="L5" s="24" t="str">
        <v>03.01.2025</v>
      </c>
      <c r="M5" s="24" t="str">
        <v>Miasto: Neuville-sur-Oise_x000D_
Kod pocztowy: 95000_x000D_
Kraj: Francja</v>
      </c>
      <c r="N5" s="24" t="str">
        <v>95000_x000D_ - 31036_x000D_</v>
      </c>
      <c r="O5" s="109" t="str">
        <v>06.01.2025</v>
      </c>
      <c r="P5" s="24" t="str">
        <v>Miasto: Eime_x000D_
Kod pocztowy: 31036_x000D_
Kraj: Niemcy</v>
      </c>
      <c r="Q5" s="24">
        <v>0</v>
      </c>
      <c r="R5" s="24" t="str">
        <v>https://www.jotform.com/uploads/OliwiaPaczkowska/243251272684356/6120558859819819671/Zdj%C4%99cie%20WhatsApp%202025-01-06%20o%2008.40.21_9d58a5b5.jpg</v>
      </c>
      <c r="S5" s="26" t="str">
        <v>Niemcy</v>
      </c>
      <c r="T5" s="27">
        <v>0</v>
      </c>
      <c r="U5" s="25"/>
      <c r="V5" s="24"/>
      <c r="W5" s="24"/>
      <c r="X5" s="24"/>
      <c r="Y5" s="109"/>
      <c r="Z5" s="24"/>
      <c r="AA5" s="24"/>
      <c r="AB5" s="24"/>
      <c r="AC5" s="26"/>
      <c r="AE5" s="25"/>
      <c r="AF5" s="24"/>
      <c r="AG5" s="24"/>
      <c r="AH5" s="24"/>
      <c r="AI5" s="109"/>
      <c r="AJ5" s="24"/>
      <c r="AK5" s="24"/>
      <c r="AL5" s="24"/>
      <c r="AM5" s="26"/>
      <c r="AO5" s="25"/>
      <c r="AP5" s="24"/>
      <c r="AQ5" s="24"/>
      <c r="AR5" s="24"/>
      <c r="AS5" s="109"/>
      <c r="AT5" s="24"/>
      <c r="AU5" s="24"/>
      <c r="AV5" s="24"/>
      <c r="AW5" s="26"/>
      <c r="AY5" s="25"/>
      <c r="AZ5" s="24"/>
      <c r="BA5" s="24"/>
      <c r="BB5" s="24"/>
      <c r="BC5" s="109"/>
      <c r="BD5" s="24"/>
      <c r="BE5" s="24"/>
      <c r="BF5" s="24"/>
      <c r="BG5" s="26"/>
      <c r="BI5" s="25"/>
      <c r="BJ5" s="24"/>
      <c r="BK5" s="24"/>
      <c r="BL5" s="24"/>
      <c r="BM5" s="109"/>
      <c r="BN5" s="24"/>
      <c r="BO5" s="24"/>
      <c r="BP5" s="24"/>
      <c r="BQ5" s="26"/>
      <c r="BS5" s="25"/>
      <c r="BT5" s="24"/>
      <c r="BU5" s="24"/>
      <c r="BV5" s="24"/>
      <c r="BW5" s="109"/>
      <c r="BX5" s="24"/>
      <c r="BY5" s="24"/>
      <c r="BZ5" s="24"/>
      <c r="CA5" s="26"/>
      <c r="CC5" s="25"/>
      <c r="CD5" s="24"/>
      <c r="CE5" s="24"/>
      <c r="CF5" s="24"/>
      <c r="CG5" s="24"/>
      <c r="CH5" s="24"/>
      <c r="CI5" s="24"/>
      <c r="CJ5" s="24"/>
      <c r="CK5" s="26"/>
    </row>
    <row r="6" spans="1:89" ht="242.25">
      <c r="K6" s="20" t="str">
        <v>FZ1936S</v>
      </c>
      <c r="L6" s="20" t="str">
        <v>06.01.2025</v>
      </c>
      <c r="M6" s="20" t="str">
        <v>Miasto: Widnau_x000D_
Kod pocztowy: 9443_x000D_
Kraj: Szwajcaria</v>
      </c>
      <c r="N6" s="20" t="str">
        <v>9443_x000D_ - 3205_x000D_</v>
      </c>
      <c r="O6" s="109" t="str">
        <v>07.01.2025</v>
      </c>
      <c r="P6" s="20" t="str">
        <v>Miasto: Weinburg_x000D_
Kod pocztowy: 3205_x000D_
Kraj: Austria</v>
      </c>
      <c r="Q6" s="20">
        <v>0</v>
      </c>
      <c r="R6" s="20" t="str">
        <v>https://www.jotform.com/uploads/OliwiaPaczkowska/243251272684356/6120560169819776870/Zdj%C4%99cie%20WhatsApp%202025-01-07%20o%2010.27.11_3b3825f0.jpg</v>
      </c>
      <c r="S6" s="20" t="str">
        <v>Austria</v>
      </c>
      <c r="T6">
        <v>0</v>
      </c>
    </row>
    <row r="7" spans="1:89" ht="242.25">
      <c r="K7" s="20" t="str">
        <v>FZ1936S</v>
      </c>
      <c r="L7" s="20" t="str">
        <v>06.01.2025</v>
      </c>
      <c r="M7" s="20" t="str">
        <v>Miasto: Lengede_x000D_
Kod pocztowy: 38268_x000D_
Kraj: Niemcy</v>
      </c>
      <c r="N7" s="20" t="str">
        <v>38268_x000D_ - 78176_x000D_</v>
      </c>
      <c r="O7" s="109" t="str">
        <v>07.01.2025</v>
      </c>
      <c r="P7" s="20" t="str">
        <v>Miasto: Blumberg_x000D_
Kod pocztowy: 78176_x000D_
Kraj: Niemcy</v>
      </c>
      <c r="Q7" s="20">
        <v>0</v>
      </c>
      <c r="R7" s="20" t="str">
        <v>https://www.jotform.com/uploads/OliwiaPaczkowska/243251272684356/6122386449811395201/Zdj%C4%99cie%20WhatsApp%202025-01-07%20o%2010.27.11_f234faea.jpg</v>
      </c>
      <c r="S7" s="20" t="str">
        <v>Niemcy</v>
      </c>
      <c r="T7">
        <v>0</v>
      </c>
    </row>
    <row r="8" spans="1:89" ht="242.25">
      <c r="K8" s="20" t="str">
        <v>FZ1936S</v>
      </c>
      <c r="L8" s="20" t="str">
        <v>07.01.2025</v>
      </c>
      <c r="M8" s="20" t="str">
        <v>Miasto: Widnau_x000D_
Kod pocztowy: 9443_x000D_
Kraj: Szwajcaria</v>
      </c>
      <c r="N8" s="20" t="str">
        <v>9443_x000D_ - 3205_x000D_</v>
      </c>
      <c r="O8" s="109" t="str">
        <v>08.01.2025</v>
      </c>
      <c r="P8" s="20" t="str">
        <v>Miasto: Weinburg_x000D_
Kod pocztowy: 3205_x000D_
Kraj: Austria</v>
      </c>
      <c r="Q8" s="20">
        <v>0</v>
      </c>
      <c r="R8" s="20" t="str">
        <v>https://www.jotform.com/uploads/OliwiaPaczkowska/243251272684356/6122388129812968618/Zdj%C4%99cie%20WhatsApp%202025-01-08%20o%2012.39.11_d7df3fe3.jpg</v>
      </c>
      <c r="S8" s="20" t="str">
        <v>Austria</v>
      </c>
      <c r="T8">
        <v>0</v>
      </c>
    </row>
    <row r="9" spans="1:89" ht="409.5">
      <c r="K9" s="20" t="str">
        <v>FZ1936S</v>
      </c>
      <c r="L9" s="20" t="str">
        <v>07.01.2025</v>
      </c>
      <c r="M9" s="20" t="str">
        <v>Miasto: Zielona Góra_x000D_
Kod pocztowy: 66-015_x000D_
Kraj: Polska</v>
      </c>
      <c r="N9" s="20" t="str">
        <v>66-015_x000D_ - 44575_x000D_</v>
      </c>
      <c r="O9" s="109" t="str">
        <v>08.01.2025</v>
      </c>
      <c r="P9" s="20" t="str">
        <v>Miasto: Castrop-Rauxel_x000D_
Kod pocztowy: 44575_x000D_
Kraj: Niemcy</v>
      </c>
      <c r="Q9" s="20">
        <v>0</v>
      </c>
      <c r="R9" s="20" t="str">
        <v>https://www.jotform.com/uploads/OliwiaPaczkowska/243251272684356/6122389799812198055/Zdj%C4%99cie%20WhatsApp%202025-01-08%20o%2011.18.29_6e70f342.jpg
https://www.jotform.com/uploads/OliwiaPaczkowska/243251272684356/6122389799812198055/Zdj%C4%99cie%20WhatsApp%202025-01-08%20o%2011.18.48_537be2ac.jpg</v>
      </c>
      <c r="S9" s="20" t="str">
        <v>Niemcy</v>
      </c>
      <c r="T9">
        <v>0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EE33A-1922-4D10-8FE7-0F6332E2633B}">
  <sheetPr codeName="Arkusz4">
    <tabColor theme="8" tint="0.79998168889431442"/>
    <pageSetUpPr fitToPage="1"/>
  </sheetPr>
  <dimension ref="A1:V52"/>
  <sheetViews>
    <sheetView showGridLines="0" tabSelected="1" workbookViewId="0">
      <pane xSplit="1" ySplit="2" topLeftCell="G3" activePane="bottomRight" state="frozen"/>
      <selection pane="topRight"/>
      <selection pane="bottomLeft"/>
      <selection pane="bottomRight" activeCell="A2" sqref="A2:V2"/>
    </sheetView>
  </sheetViews>
  <sheetFormatPr defaultColWidth="16.28515625" defaultRowHeight="19.899999999999999" customHeight="1"/>
  <cols>
    <col min="1" max="1" width="11" style="1" customWidth="1"/>
    <col min="2" max="2" width="12.28515625" style="1" customWidth="1"/>
    <col min="3" max="3" width="23.28515625" style="1" customWidth="1"/>
    <col min="4" max="4" width="11.85546875" style="1" customWidth="1"/>
    <col min="5" max="5" width="12.42578125" style="1" customWidth="1"/>
    <col min="6" max="6" width="11.85546875" style="1" customWidth="1"/>
    <col min="7" max="7" width="13.28515625" style="1" customWidth="1"/>
    <col min="8" max="8" width="16.28515625" style="36" customWidth="1"/>
    <col min="9" max="9" width="13" style="1" customWidth="1"/>
    <col min="10" max="10" width="16.28515625" style="1" customWidth="1"/>
    <col min="11" max="11" width="16.5703125" style="1" customWidth="1"/>
    <col min="12" max="12" width="16.28515625" style="1" customWidth="1"/>
    <col min="13" max="14" width="10.85546875" style="1" customWidth="1"/>
    <col min="15" max="15" width="13.7109375" style="1" customWidth="1"/>
    <col min="16" max="16" width="9.140625" style="1"/>
    <col min="17" max="17" width="13.5703125" style="1" customWidth="1"/>
    <col min="18" max="16384" width="16.28515625" style="1"/>
  </cols>
  <sheetData>
    <row r="1" spans="1:22" ht="45" customHeight="1">
      <c r="A1" s="153" t="s">
        <v>90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48"/>
    </row>
    <row r="2" spans="1:22" ht="28.5" customHeight="1">
      <c r="A2" s="87" t="s">
        <v>191</v>
      </c>
      <c r="B2" s="29" t="s">
        <v>192</v>
      </c>
      <c r="C2" s="29" t="s">
        <v>193</v>
      </c>
      <c r="D2" s="110" t="s">
        <v>194</v>
      </c>
      <c r="E2" s="110" t="s">
        <v>195</v>
      </c>
      <c r="F2" s="110" t="s">
        <v>9</v>
      </c>
      <c r="G2" s="110" t="s">
        <v>8</v>
      </c>
      <c r="H2" s="32" t="s">
        <v>190</v>
      </c>
      <c r="I2" s="29" t="s">
        <v>196</v>
      </c>
      <c r="J2" s="29" t="s">
        <v>197</v>
      </c>
      <c r="K2" s="29" t="s">
        <v>198</v>
      </c>
      <c r="L2" s="29" t="s">
        <v>199</v>
      </c>
      <c r="M2" s="29" t="s">
        <v>200</v>
      </c>
      <c r="N2" s="29" t="s">
        <v>201</v>
      </c>
      <c r="O2" s="29" t="s">
        <v>202</v>
      </c>
      <c r="P2" s="29" t="s">
        <v>203</v>
      </c>
      <c r="Q2" s="29" t="s">
        <v>204</v>
      </c>
      <c r="R2" s="30" t="s">
        <v>205</v>
      </c>
      <c r="S2" s="92" t="s">
        <v>206</v>
      </c>
      <c r="T2" s="92" t="s">
        <v>214</v>
      </c>
      <c r="U2" s="103" t="s">
        <v>207</v>
      </c>
      <c r="V2" s="92" t="s">
        <v>68</v>
      </c>
    </row>
    <row r="3" spans="1:22" ht="20.25" customHeight="1">
      <c r="A3" s="111" t="str">
        <f>FILTRUJ!BS2</f>
        <v>BRAK WPISANYCH TRASEK</v>
      </c>
      <c r="B3" s="15" t="str">
        <f>IF(FILTRUJ!BT2="", "", TEXT(FILTRUJ!BT2, "DD.MM")) &amp; "-" &amp; IF(FILTRUJ!BW2="", "", TEXT(FILTRUJ!BW2, "DD.MM"))</f>
        <v>-</v>
      </c>
      <c r="C3" s="111">
        <f>FILTRUJ!BV2</f>
        <v>0</v>
      </c>
      <c r="D3" s="111">
        <f>FILTRUJ!BT2</f>
        <v>0</v>
      </c>
      <c r="E3" s="111">
        <f>FILTRUJ!BU2</f>
        <v>0</v>
      </c>
      <c r="F3" s="115">
        <f>FILTRUJ!BW2</f>
        <v>0</v>
      </c>
      <c r="G3" s="111">
        <f>FILTRUJ!BX2</f>
        <v>0</v>
      </c>
      <c r="H3" s="33"/>
      <c r="I3" s="2"/>
      <c r="J3" s="3"/>
      <c r="K3" s="99"/>
      <c r="L3" s="4" t="e">
        <f>(K3-P3-M3*40)/J3</f>
        <v>#DIV/0!</v>
      </c>
      <c r="M3" s="3"/>
      <c r="N3" s="111">
        <f>FILTRUJ!BY2</f>
        <v>0</v>
      </c>
      <c r="O3" s="5">
        <f>K3-0.55*J3-M3*40-P3</f>
        <v>0</v>
      </c>
      <c r="P3" s="3"/>
      <c r="Q3" s="3"/>
      <c r="R3" s="93"/>
      <c r="S3" s="94"/>
      <c r="T3" s="94"/>
      <c r="U3" s="111">
        <f>FILTRUJ!BZ2</f>
        <v>0</v>
      </c>
      <c r="V3" s="102">
        <f>FILTRUJ!CA2</f>
        <v>0</v>
      </c>
    </row>
    <row r="4" spans="1:22" ht="23.25" customHeight="1">
      <c r="A4" s="88">
        <f>FILTRUJ!BS3</f>
        <v>0</v>
      </c>
      <c r="B4" s="104" t="str">
        <f>IF(FILTRUJ!BT3="", "", TEXT(FILTRUJ!BT3, "DD.MM")) &amp; "-" &amp; IF(FILTRUJ!BW3="", "", TEXT(FILTRUJ!BW3, "DD.MM"))</f>
        <v>-</v>
      </c>
      <c r="C4" s="6">
        <f>FILTRUJ!BV3</f>
        <v>0</v>
      </c>
      <c r="D4" s="112">
        <f>FILTRUJ!BT3</f>
        <v>0</v>
      </c>
      <c r="E4" s="112">
        <f>FILTRUJ!BU3</f>
        <v>0</v>
      </c>
      <c r="F4" s="114">
        <f>FILTRUJ!BW3</f>
        <v>0</v>
      </c>
      <c r="G4" s="112">
        <f>FILTRUJ!BX3</f>
        <v>0</v>
      </c>
      <c r="H4" s="34"/>
      <c r="I4" s="7"/>
      <c r="J4" s="8"/>
      <c r="K4" s="100"/>
      <c r="L4" s="9" t="e">
        <f>(K4-P4-M4*40)/J4</f>
        <v>#DIV/0!</v>
      </c>
      <c r="M4" s="8"/>
      <c r="N4" s="8">
        <f>FILTRUJ!BY3</f>
        <v>0</v>
      </c>
      <c r="O4" s="10">
        <f>K4-0.55*J4-M4*40-P4</f>
        <v>0</v>
      </c>
      <c r="P4" s="8"/>
      <c r="Q4" s="8"/>
      <c r="R4" s="95"/>
      <c r="S4" s="96"/>
      <c r="T4" s="154"/>
      <c r="U4" s="102">
        <f>FILTRUJ!BZ3</f>
        <v>0</v>
      </c>
      <c r="V4" s="102">
        <f>FILTRUJ!CA3</f>
        <v>0</v>
      </c>
    </row>
    <row r="5" spans="1:22" ht="20.100000000000001" customHeight="1">
      <c r="A5" s="88">
        <f>FILTRUJ!BS4</f>
        <v>0</v>
      </c>
      <c r="B5" s="104" t="str">
        <f>IF(FILTRUJ!BT4="", "", TEXT(FILTRUJ!BT4, "DD.MM")) &amp; "-" &amp; IF(FILTRUJ!BW4="", "", TEXT(FILTRUJ!BW4, "DD.MM"))</f>
        <v>-</v>
      </c>
      <c r="C5" s="6">
        <f>FILTRUJ!BV4</f>
        <v>0</v>
      </c>
      <c r="D5" s="112">
        <f>FILTRUJ!BT4</f>
        <v>0</v>
      </c>
      <c r="E5" s="112">
        <f>FILTRUJ!BU4</f>
        <v>0</v>
      </c>
      <c r="F5" s="114">
        <f>FILTRUJ!BW4</f>
        <v>0</v>
      </c>
      <c r="G5" s="112">
        <f>FILTRUJ!BX4</f>
        <v>0</v>
      </c>
      <c r="H5" s="34"/>
      <c r="I5" s="7"/>
      <c r="J5" s="8"/>
      <c r="K5" s="100"/>
      <c r="L5" s="9" t="e">
        <f>(K5-P5-M5*40)/J5</f>
        <v>#DIV/0!</v>
      </c>
      <c r="M5" s="8"/>
      <c r="N5" s="8">
        <f>FILTRUJ!BY4</f>
        <v>0</v>
      </c>
      <c r="O5" s="10">
        <f>K5-0.55*J5-M5*40-P5</f>
        <v>0</v>
      </c>
      <c r="P5" s="8"/>
      <c r="Q5" s="8"/>
      <c r="R5" s="95"/>
      <c r="S5" s="96"/>
      <c r="T5" s="154"/>
      <c r="U5" s="102">
        <f>FILTRUJ!BZ4</f>
        <v>0</v>
      </c>
      <c r="V5" s="102">
        <f>FILTRUJ!CA4</f>
        <v>0</v>
      </c>
    </row>
    <row r="6" spans="1:22" ht="20.25" customHeight="1">
      <c r="A6" s="37">
        <f>FILTRUJ!BS5</f>
        <v>0</v>
      </c>
      <c r="B6" s="105" t="str">
        <f>IF(FILTRUJ!BT5="", "", TEXT(FILTRUJ!BT5, "DD.MM")) &amp; "-" &amp; IF(FILTRUJ!BW5="", "", TEXT(FILTRUJ!BW5, "DD.MM"))</f>
        <v>-</v>
      </c>
      <c r="C6" s="6">
        <f>FILTRUJ!BV5</f>
        <v>0</v>
      </c>
      <c r="D6" s="112">
        <f>FILTRUJ!BT5</f>
        <v>0</v>
      </c>
      <c r="E6" s="112">
        <f>FILTRUJ!BU5</f>
        <v>0</v>
      </c>
      <c r="F6" s="114">
        <f>FILTRUJ!BW5</f>
        <v>0</v>
      </c>
      <c r="G6" s="112">
        <f>FILTRUJ!BX5</f>
        <v>0</v>
      </c>
      <c r="H6" s="34"/>
      <c r="I6" s="7"/>
      <c r="J6" s="8"/>
      <c r="K6" s="100"/>
      <c r="L6" s="9" t="e">
        <f>(K6-P6-M6*40)/J6</f>
        <v>#DIV/0!</v>
      </c>
      <c r="M6" s="8"/>
      <c r="N6" s="8">
        <f>FILTRUJ!BY5</f>
        <v>0</v>
      </c>
      <c r="O6" s="10">
        <f>K6-0.55*J6-M6*40-P6</f>
        <v>0</v>
      </c>
      <c r="P6" s="8"/>
      <c r="Q6" s="8"/>
      <c r="R6" s="95"/>
      <c r="S6" s="96"/>
      <c r="T6" s="154"/>
      <c r="U6" s="102">
        <f>FILTRUJ!BZ5</f>
        <v>0</v>
      </c>
      <c r="V6" s="102">
        <f>FILTRUJ!CA5</f>
        <v>0</v>
      </c>
    </row>
    <row r="7" spans="1:22" ht="20.25" customHeight="1">
      <c r="A7" s="37">
        <f>FILTRUJ!BS6</f>
        <v>0</v>
      </c>
      <c r="B7" s="105" t="str">
        <f>IF(FILTRUJ!BT6="", "", TEXT(FILTRUJ!BT6, "DD.MM")) &amp; "-" &amp; IF(FILTRUJ!BW6="", "", TEXT(FILTRUJ!BW6, "DD.MM"))</f>
        <v>-</v>
      </c>
      <c r="C7" s="6">
        <f>FILTRUJ!BV6</f>
        <v>0</v>
      </c>
      <c r="D7" s="112">
        <f>FILTRUJ!BT6</f>
        <v>0</v>
      </c>
      <c r="E7" s="112">
        <f>FILTRUJ!BU6</f>
        <v>0</v>
      </c>
      <c r="F7" s="114">
        <f>FILTRUJ!BW6</f>
        <v>0</v>
      </c>
      <c r="G7" s="112">
        <f>FILTRUJ!BX6</f>
        <v>0</v>
      </c>
      <c r="H7" s="34"/>
      <c r="I7" s="7"/>
      <c r="J7" s="8"/>
      <c r="K7" s="100"/>
      <c r="L7" s="9" t="e">
        <f>(K7-P7-M7*40)/J7</f>
        <v>#DIV/0!</v>
      </c>
      <c r="M7" s="8"/>
      <c r="N7" s="8">
        <f>FILTRUJ!BY6</f>
        <v>0</v>
      </c>
      <c r="O7" s="10">
        <f>K7-0.55*J7-M7*40-P7</f>
        <v>0</v>
      </c>
      <c r="P7" s="8"/>
      <c r="Q7" s="8"/>
      <c r="R7" s="95"/>
      <c r="S7" s="96"/>
      <c r="T7" s="154"/>
      <c r="U7" s="102">
        <f>FILTRUJ!BZ6</f>
        <v>0</v>
      </c>
      <c r="V7" s="102">
        <f>FILTRUJ!CA6</f>
        <v>0</v>
      </c>
    </row>
    <row r="8" spans="1:22" ht="20.100000000000001" customHeight="1">
      <c r="A8" s="89">
        <f>FILTRUJ!BS7</f>
        <v>0</v>
      </c>
      <c r="B8" s="106" t="str">
        <f>IF(FILTRUJ!BT7="", "", TEXT(FILTRUJ!BT7, "DD.MM")) &amp; "-" &amp; IF(FILTRUJ!BW7="", "", TEXT(FILTRUJ!BW7, "DD.MM"))</f>
        <v>-</v>
      </c>
      <c r="C8" s="6">
        <f>FILTRUJ!BV7</f>
        <v>0</v>
      </c>
      <c r="D8" s="112">
        <f>FILTRUJ!BT7</f>
        <v>0</v>
      </c>
      <c r="E8" s="112">
        <f>FILTRUJ!BU7</f>
        <v>0</v>
      </c>
      <c r="F8" s="114">
        <f>FILTRUJ!BW7</f>
        <v>0</v>
      </c>
      <c r="G8" s="112">
        <f>FILTRUJ!BX7</f>
        <v>0</v>
      </c>
      <c r="H8" s="34"/>
      <c r="I8" s="7"/>
      <c r="J8" s="8"/>
      <c r="K8" s="100"/>
      <c r="L8" s="9" t="e">
        <f>(K8-P8-M8*40)/J8</f>
        <v>#DIV/0!</v>
      </c>
      <c r="M8" s="8"/>
      <c r="N8" s="8">
        <f>FILTRUJ!BY7</f>
        <v>0</v>
      </c>
      <c r="O8" s="10">
        <f>K8-0.55*J8-M8*40-P8</f>
        <v>0</v>
      </c>
      <c r="P8" s="8"/>
      <c r="Q8" s="8"/>
      <c r="R8" s="95"/>
      <c r="S8" s="96"/>
      <c r="T8" s="154"/>
      <c r="U8" s="102">
        <f>FILTRUJ!BZ7</f>
        <v>0</v>
      </c>
      <c r="V8" s="102">
        <f>FILTRUJ!CA7</f>
        <v>0</v>
      </c>
    </row>
    <row r="9" spans="1:22" ht="20.100000000000001" customHeight="1">
      <c r="A9" s="89">
        <f>FILTRUJ!BS8</f>
        <v>0</v>
      </c>
      <c r="B9" s="106" t="str">
        <f>IF(FILTRUJ!BT8="", "", TEXT(FILTRUJ!BT8, "DD.MM")) &amp; "-" &amp; IF(FILTRUJ!BW8="", "", TEXT(FILTRUJ!BW8, "DD.MM"))</f>
        <v>-</v>
      </c>
      <c r="C9" s="6">
        <f>FILTRUJ!BV8</f>
        <v>0</v>
      </c>
      <c r="D9" s="112">
        <f>FILTRUJ!BT8</f>
        <v>0</v>
      </c>
      <c r="E9" s="112">
        <f>FILTRUJ!BU8</f>
        <v>0</v>
      </c>
      <c r="F9" s="114">
        <f>FILTRUJ!BW8</f>
        <v>0</v>
      </c>
      <c r="G9" s="112">
        <f>FILTRUJ!BX8</f>
        <v>0</v>
      </c>
      <c r="H9" s="34"/>
      <c r="I9" s="7"/>
      <c r="J9" s="8"/>
      <c r="K9" s="100"/>
      <c r="L9" s="9" t="e">
        <f>(K9-P9-M9*40)/J9</f>
        <v>#DIV/0!</v>
      </c>
      <c r="M9" s="8"/>
      <c r="N9" s="8">
        <f>FILTRUJ!BY8</f>
        <v>0</v>
      </c>
      <c r="O9" s="10">
        <f>K9-0.55*J9-M9*40-P9</f>
        <v>0</v>
      </c>
      <c r="P9" s="8"/>
      <c r="Q9" s="8"/>
      <c r="R9" s="95"/>
      <c r="S9" s="96"/>
      <c r="T9" s="154"/>
      <c r="U9" s="102">
        <f>FILTRUJ!BZ8</f>
        <v>0</v>
      </c>
      <c r="V9" s="102">
        <f>FILTRUJ!CA8</f>
        <v>0</v>
      </c>
    </row>
    <row r="10" spans="1:22" ht="20.100000000000001" customHeight="1">
      <c r="A10" s="89">
        <f>FILTRUJ!BS9</f>
        <v>0</v>
      </c>
      <c r="B10" s="106" t="str">
        <f>IF(FILTRUJ!BT9="", "", TEXT(FILTRUJ!BT9, "DD.MM")) &amp; "-" &amp; IF(FILTRUJ!BW9="", "", TEXT(FILTRUJ!BW9, "DD.MM"))</f>
        <v>-</v>
      </c>
      <c r="C10" s="6">
        <f>FILTRUJ!BV9</f>
        <v>0</v>
      </c>
      <c r="D10" s="112">
        <f>FILTRUJ!BT9</f>
        <v>0</v>
      </c>
      <c r="E10" s="112">
        <f>FILTRUJ!BU9</f>
        <v>0</v>
      </c>
      <c r="F10" s="114">
        <f>FILTRUJ!BW9</f>
        <v>0</v>
      </c>
      <c r="G10" s="112">
        <f>FILTRUJ!BX9</f>
        <v>0</v>
      </c>
      <c r="H10" s="34"/>
      <c r="I10" s="7"/>
      <c r="J10" s="8"/>
      <c r="K10" s="100"/>
      <c r="L10" s="9" t="e">
        <f>(K10-P10-M10*40)/J10</f>
        <v>#DIV/0!</v>
      </c>
      <c r="M10" s="8"/>
      <c r="N10" s="8">
        <f>FILTRUJ!BY9</f>
        <v>0</v>
      </c>
      <c r="O10" s="10">
        <f>K10-0.55*J10-M10*40-P10</f>
        <v>0</v>
      </c>
      <c r="P10" s="8"/>
      <c r="Q10" s="8"/>
      <c r="R10" s="95"/>
      <c r="S10" s="96"/>
      <c r="T10" s="154"/>
      <c r="U10" s="102">
        <f>FILTRUJ!BZ9</f>
        <v>0</v>
      </c>
      <c r="V10" s="102">
        <f>FILTRUJ!CA9</f>
        <v>0</v>
      </c>
    </row>
    <row r="11" spans="1:22" ht="20.100000000000001" customHeight="1">
      <c r="A11" s="89">
        <f>FILTRUJ!BS10</f>
        <v>0</v>
      </c>
      <c r="B11" s="106" t="str">
        <f>IF(FILTRUJ!BT10="", "", TEXT(FILTRUJ!BT10, "DD.MM")) &amp; "-" &amp; IF(FILTRUJ!BW10="", "", TEXT(FILTRUJ!BW10, "DD.MM"))</f>
        <v>-</v>
      </c>
      <c r="C11" s="6">
        <f>FILTRUJ!BV10</f>
        <v>0</v>
      </c>
      <c r="D11" s="112">
        <f>FILTRUJ!BT10</f>
        <v>0</v>
      </c>
      <c r="E11" s="112">
        <f>FILTRUJ!BU10</f>
        <v>0</v>
      </c>
      <c r="F11" s="114">
        <f>FILTRUJ!BW10</f>
        <v>0</v>
      </c>
      <c r="G11" s="112">
        <f>FILTRUJ!BX10</f>
        <v>0</v>
      </c>
      <c r="H11" s="34"/>
      <c r="I11" s="7"/>
      <c r="J11" s="8"/>
      <c r="K11" s="100"/>
      <c r="L11" s="9" t="e">
        <f>(K11-P11-M11*40)/J11</f>
        <v>#DIV/0!</v>
      </c>
      <c r="M11" s="8"/>
      <c r="N11" s="8">
        <f>FILTRUJ!BY10</f>
        <v>0</v>
      </c>
      <c r="O11" s="10">
        <f>K11-0.55*J11-M11*40-P11</f>
        <v>0</v>
      </c>
      <c r="P11" s="8"/>
      <c r="Q11" s="8"/>
      <c r="R11" s="95"/>
      <c r="S11" s="96"/>
      <c r="T11" s="154"/>
      <c r="U11" s="102">
        <f>FILTRUJ!BZ10</f>
        <v>0</v>
      </c>
      <c r="V11" s="102">
        <f>FILTRUJ!CA10</f>
        <v>0</v>
      </c>
    </row>
    <row r="12" spans="1:22" ht="20.100000000000001" customHeight="1">
      <c r="A12" s="89">
        <f>FILTRUJ!BS11</f>
        <v>0</v>
      </c>
      <c r="B12" s="106" t="str">
        <f>IF(FILTRUJ!BT11="", "", TEXT(FILTRUJ!BT11, "DD.MM")) &amp; "-" &amp; IF(FILTRUJ!BW11="", "", TEXT(FILTRUJ!BW11, "DD.MM"))</f>
        <v>-</v>
      </c>
      <c r="C12" s="6">
        <f>FILTRUJ!BV11</f>
        <v>0</v>
      </c>
      <c r="D12" s="112">
        <f>FILTRUJ!BT11</f>
        <v>0</v>
      </c>
      <c r="E12" s="112">
        <f>FILTRUJ!BU11</f>
        <v>0</v>
      </c>
      <c r="F12" s="114">
        <f>FILTRUJ!BW11</f>
        <v>0</v>
      </c>
      <c r="G12" s="112">
        <f>FILTRUJ!BX11</f>
        <v>0</v>
      </c>
      <c r="H12" s="34"/>
      <c r="I12" s="7"/>
      <c r="J12" s="8"/>
      <c r="K12" s="100"/>
      <c r="L12" s="9" t="e">
        <f>(K12-P12-M12*40)/J12</f>
        <v>#DIV/0!</v>
      </c>
      <c r="M12" s="8"/>
      <c r="N12" s="8">
        <f>FILTRUJ!BY11</f>
        <v>0</v>
      </c>
      <c r="O12" s="10">
        <f>K12-0.55*J12-M12*40-P12</f>
        <v>0</v>
      </c>
      <c r="P12" s="8"/>
      <c r="Q12" s="8"/>
      <c r="R12" s="95"/>
      <c r="S12" s="96"/>
      <c r="T12" s="154"/>
      <c r="U12" s="102">
        <f>FILTRUJ!BZ11</f>
        <v>0</v>
      </c>
      <c r="V12" s="102">
        <f>FILTRUJ!CA11</f>
        <v>0</v>
      </c>
    </row>
    <row r="13" spans="1:22" ht="20.100000000000001" customHeight="1">
      <c r="A13" s="89">
        <f>FILTRUJ!BS12</f>
        <v>0</v>
      </c>
      <c r="B13" s="106" t="str">
        <f>IF(FILTRUJ!BT12="", "", TEXT(FILTRUJ!BT12, "DD.MM")) &amp; "-" &amp; IF(FILTRUJ!BW12="", "", TEXT(FILTRUJ!BW12, "DD.MM"))</f>
        <v>-</v>
      </c>
      <c r="C13" s="6">
        <f>FILTRUJ!BV12</f>
        <v>0</v>
      </c>
      <c r="D13" s="112">
        <f>FILTRUJ!BT12</f>
        <v>0</v>
      </c>
      <c r="E13" s="112">
        <f>FILTRUJ!BU12</f>
        <v>0</v>
      </c>
      <c r="F13" s="114">
        <f>FILTRUJ!BW12</f>
        <v>0</v>
      </c>
      <c r="G13" s="112">
        <f>FILTRUJ!BX12</f>
        <v>0</v>
      </c>
      <c r="H13" s="34"/>
      <c r="I13" s="7"/>
      <c r="J13" s="8"/>
      <c r="K13" s="100"/>
      <c r="L13" s="9" t="e">
        <f>(K13-P13-M13*40)/J13</f>
        <v>#DIV/0!</v>
      </c>
      <c r="M13" s="8"/>
      <c r="N13" s="8">
        <f>FILTRUJ!BY12</f>
        <v>0</v>
      </c>
      <c r="O13" s="10">
        <f>K13-0.55*J13-M13*40-P13</f>
        <v>0</v>
      </c>
      <c r="P13" s="8"/>
      <c r="Q13" s="8"/>
      <c r="R13" s="95"/>
      <c r="S13" s="96"/>
      <c r="T13" s="154"/>
      <c r="U13" s="102">
        <f>FILTRUJ!BZ12</f>
        <v>0</v>
      </c>
      <c r="V13" s="102">
        <f>FILTRUJ!CA12</f>
        <v>0</v>
      </c>
    </row>
    <row r="14" spans="1:22" ht="20.100000000000001" customHeight="1">
      <c r="A14" s="89">
        <f>FILTRUJ!BS13</f>
        <v>0</v>
      </c>
      <c r="B14" s="106" t="str">
        <f>IF(FILTRUJ!BT13="", "", TEXT(FILTRUJ!BT13, "DD.MM")) &amp; "-" &amp; IF(FILTRUJ!BW13="", "", TEXT(FILTRUJ!BW13, "DD.MM"))</f>
        <v>-</v>
      </c>
      <c r="C14" s="6">
        <f>FILTRUJ!BV13</f>
        <v>0</v>
      </c>
      <c r="D14" s="112">
        <f>FILTRUJ!BT13</f>
        <v>0</v>
      </c>
      <c r="E14" s="112">
        <f>FILTRUJ!BU13</f>
        <v>0</v>
      </c>
      <c r="F14" s="114">
        <f>FILTRUJ!BW13</f>
        <v>0</v>
      </c>
      <c r="G14" s="112">
        <f>FILTRUJ!BX13</f>
        <v>0</v>
      </c>
      <c r="H14" s="34"/>
      <c r="I14" s="7"/>
      <c r="J14" s="8"/>
      <c r="K14" s="100"/>
      <c r="L14" s="9" t="e">
        <f>(K14-P14-M14*40)/J14</f>
        <v>#DIV/0!</v>
      </c>
      <c r="M14" s="8"/>
      <c r="N14" s="8">
        <f>FILTRUJ!BY13</f>
        <v>0</v>
      </c>
      <c r="O14" s="10">
        <f>K14-0.55*J14-M14*40-P14</f>
        <v>0</v>
      </c>
      <c r="P14" s="8"/>
      <c r="Q14" s="8"/>
      <c r="R14" s="95"/>
      <c r="S14" s="96"/>
      <c r="T14" s="154"/>
      <c r="U14" s="102">
        <f>FILTRUJ!BZ13</f>
        <v>0</v>
      </c>
      <c r="V14" s="102">
        <f>FILTRUJ!CA13</f>
        <v>0</v>
      </c>
    </row>
    <row r="15" spans="1:22" ht="20.100000000000001" customHeight="1">
      <c r="A15" s="89">
        <f>FILTRUJ!BS14</f>
        <v>0</v>
      </c>
      <c r="B15" s="106" t="str">
        <f>IF(FILTRUJ!BT14="", "", TEXT(FILTRUJ!BT14, "DD.MM")) &amp; "-" &amp; IF(FILTRUJ!BW14="", "", TEXT(FILTRUJ!BW14, "DD.MM"))</f>
        <v>-</v>
      </c>
      <c r="C15" s="6">
        <f>FILTRUJ!BV14</f>
        <v>0</v>
      </c>
      <c r="D15" s="112">
        <f>FILTRUJ!BT14</f>
        <v>0</v>
      </c>
      <c r="E15" s="112">
        <f>FILTRUJ!BU14</f>
        <v>0</v>
      </c>
      <c r="F15" s="114">
        <f>FILTRUJ!BW14</f>
        <v>0</v>
      </c>
      <c r="G15" s="112">
        <f>FILTRUJ!BX14</f>
        <v>0</v>
      </c>
      <c r="H15" s="34"/>
      <c r="I15" s="7"/>
      <c r="J15" s="8"/>
      <c r="K15" s="100"/>
      <c r="L15" s="9" t="e">
        <f>(K15-P15-M15*40)/J15</f>
        <v>#DIV/0!</v>
      </c>
      <c r="M15" s="8"/>
      <c r="N15" s="8">
        <f>FILTRUJ!BY14</f>
        <v>0</v>
      </c>
      <c r="O15" s="10">
        <f>K15-0.55*J15-M15*40-P15</f>
        <v>0</v>
      </c>
      <c r="P15" s="8"/>
      <c r="Q15" s="8"/>
      <c r="R15" s="95"/>
      <c r="S15" s="96"/>
      <c r="T15" s="154"/>
      <c r="U15" s="102">
        <f>FILTRUJ!BZ14</f>
        <v>0</v>
      </c>
      <c r="V15" s="102">
        <f>FILTRUJ!CA14</f>
        <v>0</v>
      </c>
    </row>
    <row r="16" spans="1:22" ht="20.100000000000001" customHeight="1">
      <c r="A16" s="89">
        <f>FILTRUJ!BS15</f>
        <v>0</v>
      </c>
      <c r="B16" s="106" t="str">
        <f>IF(FILTRUJ!BT15="", "", TEXT(FILTRUJ!BT15, "DD.MM")) &amp; "-" &amp; IF(FILTRUJ!BW15="", "", TEXT(FILTRUJ!BW15, "DD.MM"))</f>
        <v>-</v>
      </c>
      <c r="C16" s="6">
        <f>FILTRUJ!BV15</f>
        <v>0</v>
      </c>
      <c r="D16" s="112">
        <f>FILTRUJ!BT15</f>
        <v>0</v>
      </c>
      <c r="E16" s="112">
        <f>FILTRUJ!BU15</f>
        <v>0</v>
      </c>
      <c r="F16" s="114">
        <f>FILTRUJ!BW15</f>
        <v>0</v>
      </c>
      <c r="G16" s="112">
        <f>FILTRUJ!BX15</f>
        <v>0</v>
      </c>
      <c r="H16" s="34"/>
      <c r="I16" s="7"/>
      <c r="J16" s="8"/>
      <c r="K16" s="100"/>
      <c r="L16" s="9" t="e">
        <f>(K16-P16-M16*40)/J16</f>
        <v>#DIV/0!</v>
      </c>
      <c r="M16" s="8"/>
      <c r="N16" s="8">
        <f>FILTRUJ!BY15</f>
        <v>0</v>
      </c>
      <c r="O16" s="10">
        <f>K16-0.55*J16-M16*40-P16</f>
        <v>0</v>
      </c>
      <c r="P16" s="8"/>
      <c r="Q16" s="8"/>
      <c r="R16" s="95"/>
      <c r="S16" s="96"/>
      <c r="T16" s="154"/>
      <c r="U16" s="102">
        <f>FILTRUJ!BZ15</f>
        <v>0</v>
      </c>
      <c r="V16" s="102">
        <f>FILTRUJ!CA15</f>
        <v>0</v>
      </c>
    </row>
    <row r="17" spans="1:22" ht="20.100000000000001" customHeight="1">
      <c r="A17" s="89">
        <f>FILTRUJ!BS16</f>
        <v>0</v>
      </c>
      <c r="B17" s="106" t="str">
        <f>IF(FILTRUJ!BT16="", "", TEXT(FILTRUJ!BT16, "DD.MM")) &amp; "-" &amp; IF(FILTRUJ!BW16="", "", TEXT(FILTRUJ!BW16, "DD.MM"))</f>
        <v>-</v>
      </c>
      <c r="C17" s="6">
        <f>FILTRUJ!BV16</f>
        <v>0</v>
      </c>
      <c r="D17" s="112">
        <f>FILTRUJ!BT16</f>
        <v>0</v>
      </c>
      <c r="E17" s="112">
        <f>FILTRUJ!BU16</f>
        <v>0</v>
      </c>
      <c r="F17" s="114">
        <f>FILTRUJ!BW16</f>
        <v>0</v>
      </c>
      <c r="G17" s="112">
        <f>FILTRUJ!BX16</f>
        <v>0</v>
      </c>
      <c r="H17" s="34"/>
      <c r="I17" s="7"/>
      <c r="J17" s="8"/>
      <c r="K17" s="100"/>
      <c r="L17" s="9" t="e">
        <f>(K17-P17-M17*40)/J17</f>
        <v>#DIV/0!</v>
      </c>
      <c r="M17" s="8"/>
      <c r="N17" s="8">
        <f>FILTRUJ!BY16</f>
        <v>0</v>
      </c>
      <c r="O17" s="10">
        <f>K17-0.55*J17-M17*40-P17</f>
        <v>0</v>
      </c>
      <c r="P17" s="8"/>
      <c r="Q17" s="8"/>
      <c r="R17" s="95"/>
      <c r="S17" s="96"/>
      <c r="T17" s="154"/>
      <c r="U17" s="102">
        <f>FILTRUJ!BZ16</f>
        <v>0</v>
      </c>
      <c r="V17" s="102">
        <f>FILTRUJ!CA16</f>
        <v>0</v>
      </c>
    </row>
    <row r="18" spans="1:22" ht="20.100000000000001" customHeight="1">
      <c r="A18" s="89">
        <f>FILTRUJ!BS17</f>
        <v>0</v>
      </c>
      <c r="B18" s="106" t="str">
        <f>IF(FILTRUJ!BT17="", "", TEXT(FILTRUJ!BT17, "DD.MM")) &amp; "-" &amp; IF(FILTRUJ!BW17="", "", TEXT(FILTRUJ!BW17, "DD.MM"))</f>
        <v>-</v>
      </c>
      <c r="C18" s="6">
        <f>FILTRUJ!BV17</f>
        <v>0</v>
      </c>
      <c r="D18" s="112">
        <f>FILTRUJ!BT17</f>
        <v>0</v>
      </c>
      <c r="E18" s="112">
        <f>FILTRUJ!BU17</f>
        <v>0</v>
      </c>
      <c r="F18" s="114">
        <f>FILTRUJ!BW17</f>
        <v>0</v>
      </c>
      <c r="G18" s="112">
        <f>FILTRUJ!BX17</f>
        <v>0</v>
      </c>
      <c r="H18" s="34"/>
      <c r="I18" s="7"/>
      <c r="J18" s="8"/>
      <c r="K18" s="100"/>
      <c r="L18" s="9" t="e">
        <f>(K18-P18-M18*40)/J18</f>
        <v>#DIV/0!</v>
      </c>
      <c r="M18" s="8"/>
      <c r="N18" s="8">
        <f>FILTRUJ!BY17</f>
        <v>0</v>
      </c>
      <c r="O18" s="10">
        <f>K18-0.55*J18-M18*40-P18</f>
        <v>0</v>
      </c>
      <c r="P18" s="8"/>
      <c r="Q18" s="8"/>
      <c r="R18" s="95"/>
      <c r="S18" s="96"/>
      <c r="T18" s="154"/>
      <c r="U18" s="102">
        <f>FILTRUJ!BZ17</f>
        <v>0</v>
      </c>
      <c r="V18" s="102">
        <f>FILTRUJ!CA17</f>
        <v>0</v>
      </c>
    </row>
    <row r="19" spans="1:22" ht="20.100000000000001" customHeight="1">
      <c r="A19" s="88">
        <f>FILTRUJ!BS18</f>
        <v>0</v>
      </c>
      <c r="B19" s="104" t="str">
        <f>IF(FILTRUJ!BT18="", "", TEXT(FILTRUJ!BT18, "DD.MM")) &amp; "-" &amp; IF(FILTRUJ!BW18="", "", TEXT(FILTRUJ!BW18, "DD.MM"))</f>
        <v>-</v>
      </c>
      <c r="C19" s="6">
        <f>FILTRUJ!BV18</f>
        <v>0</v>
      </c>
      <c r="D19" s="112">
        <f>FILTRUJ!BT18</f>
        <v>0</v>
      </c>
      <c r="E19" s="112">
        <f>FILTRUJ!BU18</f>
        <v>0</v>
      </c>
      <c r="F19" s="114">
        <f>FILTRUJ!BW18</f>
        <v>0</v>
      </c>
      <c r="G19" s="112">
        <f>FILTRUJ!BX18</f>
        <v>0</v>
      </c>
      <c r="H19" s="34"/>
      <c r="I19" s="7"/>
      <c r="J19" s="8"/>
      <c r="K19" s="100"/>
      <c r="L19" s="9" t="e">
        <f>(K19-P19-M19*40)/J19</f>
        <v>#DIV/0!</v>
      </c>
      <c r="M19" s="8"/>
      <c r="N19" s="8">
        <f>FILTRUJ!BY18</f>
        <v>0</v>
      </c>
      <c r="O19" s="10">
        <f>K19-0.55*J19-M19*40-P19</f>
        <v>0</v>
      </c>
      <c r="P19" s="8"/>
      <c r="Q19" s="8"/>
      <c r="R19" s="95"/>
      <c r="S19" s="96"/>
      <c r="T19" s="154"/>
      <c r="U19" s="102">
        <f>FILTRUJ!BZ18</f>
        <v>0</v>
      </c>
      <c r="V19" s="102">
        <f>FILTRUJ!CA18</f>
        <v>0</v>
      </c>
    </row>
    <row r="20" spans="1:22" ht="20.100000000000001" customHeight="1">
      <c r="A20" s="89">
        <f>FILTRUJ!BS19</f>
        <v>0</v>
      </c>
      <c r="B20" s="106" t="str">
        <f>IF(FILTRUJ!BT19="", "", TEXT(FILTRUJ!BT19, "DD.MM")) &amp; "-" &amp; IF(FILTRUJ!BW19="", "", TEXT(FILTRUJ!BW19, "DD.MM"))</f>
        <v>-</v>
      </c>
      <c r="C20" s="6">
        <f>FILTRUJ!BV19</f>
        <v>0</v>
      </c>
      <c r="D20" s="112">
        <f>FILTRUJ!BT19</f>
        <v>0</v>
      </c>
      <c r="E20" s="112">
        <f>FILTRUJ!BU19</f>
        <v>0</v>
      </c>
      <c r="F20" s="114">
        <f>FILTRUJ!BW19</f>
        <v>0</v>
      </c>
      <c r="G20" s="112">
        <f>FILTRUJ!BX19</f>
        <v>0</v>
      </c>
      <c r="H20" s="34"/>
      <c r="I20" s="7"/>
      <c r="J20" s="8"/>
      <c r="K20" s="100"/>
      <c r="L20" s="9" t="e">
        <f>(K20-P20-M20*40)/J20</f>
        <v>#DIV/0!</v>
      </c>
      <c r="M20" s="8"/>
      <c r="N20" s="8">
        <f>FILTRUJ!BY19</f>
        <v>0</v>
      </c>
      <c r="O20" s="10">
        <f>K20-0.55*J20-M20*40-P20</f>
        <v>0</v>
      </c>
      <c r="P20" s="8"/>
      <c r="Q20" s="8"/>
      <c r="R20" s="95"/>
      <c r="S20" s="96"/>
      <c r="T20" s="154"/>
      <c r="U20" s="102">
        <f>FILTRUJ!BZ19</f>
        <v>0</v>
      </c>
      <c r="V20" s="102">
        <f>FILTRUJ!CA19</f>
        <v>0</v>
      </c>
    </row>
    <row r="21" spans="1:22" ht="20.100000000000001" customHeight="1">
      <c r="A21" s="88">
        <f>FILTRUJ!BS20</f>
        <v>0</v>
      </c>
      <c r="B21" s="104" t="str">
        <f>IF(FILTRUJ!BT20="", "", TEXT(FILTRUJ!BT20, "DD.MM")) &amp; "-" &amp; IF(FILTRUJ!BW20="", "", TEXT(FILTRUJ!BW20, "DD.MM"))</f>
        <v>-</v>
      </c>
      <c r="C21" s="6">
        <f>FILTRUJ!BV20</f>
        <v>0</v>
      </c>
      <c r="D21" s="112">
        <f>FILTRUJ!BT20</f>
        <v>0</v>
      </c>
      <c r="E21" s="112">
        <f>FILTRUJ!BU20</f>
        <v>0</v>
      </c>
      <c r="F21" s="114">
        <f>FILTRUJ!BW20</f>
        <v>0</v>
      </c>
      <c r="G21" s="112">
        <f>FILTRUJ!BX20</f>
        <v>0</v>
      </c>
      <c r="H21" s="34"/>
      <c r="I21" s="7"/>
      <c r="J21" s="8"/>
      <c r="K21" s="100"/>
      <c r="L21" s="9" t="e">
        <f>(K21-P21-M21*40)/J21</f>
        <v>#DIV/0!</v>
      </c>
      <c r="M21" s="8"/>
      <c r="N21" s="8">
        <f>FILTRUJ!BY20</f>
        <v>0</v>
      </c>
      <c r="O21" s="10">
        <f>K21-0.55*J21-M21*40-P21</f>
        <v>0</v>
      </c>
      <c r="P21" s="8"/>
      <c r="Q21" s="8"/>
      <c r="R21" s="95"/>
      <c r="S21" s="96"/>
      <c r="T21" s="154"/>
      <c r="U21" s="102">
        <f>FILTRUJ!BZ20</f>
        <v>0</v>
      </c>
      <c r="V21" s="102">
        <f>FILTRUJ!CA20</f>
        <v>0</v>
      </c>
    </row>
    <row r="22" spans="1:22" ht="20.100000000000001" customHeight="1">
      <c r="A22" s="88">
        <f>FILTRUJ!BS21</f>
        <v>0</v>
      </c>
      <c r="B22" s="104" t="str">
        <f>IF(FILTRUJ!BT21="", "", TEXT(FILTRUJ!BT21, "DD.MM")) &amp; "-" &amp; IF(FILTRUJ!BW21="", "", TEXT(FILTRUJ!BW21, "DD.MM"))</f>
        <v>-</v>
      </c>
      <c r="C22" s="6">
        <f>FILTRUJ!BV21</f>
        <v>0</v>
      </c>
      <c r="D22" s="112">
        <f>FILTRUJ!BT21</f>
        <v>0</v>
      </c>
      <c r="E22" s="112">
        <f>FILTRUJ!BU21</f>
        <v>0</v>
      </c>
      <c r="F22" s="114">
        <f>FILTRUJ!BW21</f>
        <v>0</v>
      </c>
      <c r="G22" s="112">
        <f>FILTRUJ!BX21</f>
        <v>0</v>
      </c>
      <c r="H22" s="34"/>
      <c r="I22" s="7"/>
      <c r="J22" s="8"/>
      <c r="K22" s="100"/>
      <c r="L22" s="9" t="e">
        <f>(K22-P22-M22*40)/J22</f>
        <v>#DIV/0!</v>
      </c>
      <c r="M22" s="8"/>
      <c r="N22" s="8">
        <f>FILTRUJ!BY21</f>
        <v>0</v>
      </c>
      <c r="O22" s="10">
        <f>K22-0.55*J22-M22*40-P22</f>
        <v>0</v>
      </c>
      <c r="P22" s="8"/>
      <c r="Q22" s="8"/>
      <c r="R22" s="95"/>
      <c r="S22" s="96"/>
      <c r="T22" s="154"/>
      <c r="U22" s="102">
        <f>FILTRUJ!BZ21</f>
        <v>0</v>
      </c>
      <c r="V22" s="102">
        <f>FILTRUJ!CA21</f>
        <v>0</v>
      </c>
    </row>
    <row r="23" spans="1:22" ht="20.100000000000001" customHeight="1">
      <c r="A23" s="90">
        <f>FILTRUJ!BS22</f>
        <v>0</v>
      </c>
      <c r="B23" s="104" t="str">
        <f>IF(FILTRUJ!BT22="", "", TEXT(FILTRUJ!BT22, "DD.MM")) &amp; "-" &amp; IF(FILTRUJ!BW22="", "", TEXT(FILTRUJ!BW22, "DD.MM"))</f>
        <v>-</v>
      </c>
      <c r="C23" s="6">
        <f>FILTRUJ!BV22</f>
        <v>0</v>
      </c>
      <c r="D23" s="112">
        <f>FILTRUJ!BT22</f>
        <v>0</v>
      </c>
      <c r="E23" s="112">
        <f>FILTRUJ!BU22</f>
        <v>0</v>
      </c>
      <c r="F23" s="114">
        <f>FILTRUJ!BW22</f>
        <v>0</v>
      </c>
      <c r="G23" s="112">
        <f>FILTRUJ!BX22</f>
        <v>0</v>
      </c>
      <c r="H23" s="34"/>
      <c r="I23" s="7"/>
      <c r="J23" s="8"/>
      <c r="K23" s="100"/>
      <c r="L23" s="9" t="e">
        <f>(K23-P23-M23*40)/J23</f>
        <v>#DIV/0!</v>
      </c>
      <c r="M23" s="8"/>
      <c r="N23" s="8">
        <f>FILTRUJ!BY22</f>
        <v>0</v>
      </c>
      <c r="O23" s="10">
        <f>K23-0.55*J23-M23*40-P23</f>
        <v>0</v>
      </c>
      <c r="P23" s="8"/>
      <c r="Q23" s="8"/>
      <c r="R23" s="95"/>
      <c r="S23" s="96"/>
      <c r="T23" s="154"/>
      <c r="U23" s="102">
        <f>FILTRUJ!BZ22</f>
        <v>0</v>
      </c>
      <c r="V23" s="102">
        <f>FILTRUJ!CA22</f>
        <v>0</v>
      </c>
    </row>
    <row r="24" spans="1:22" ht="20.100000000000001" customHeight="1">
      <c r="A24" s="91">
        <f>FILTRUJ!BS23</f>
        <v>0</v>
      </c>
      <c r="B24" s="107" t="str">
        <f>IF(FILTRUJ!BT23="", "", TEXT(FILTRUJ!BT23, "DD.MM")) &amp; "-" &amp; IF(FILTRUJ!BW23="", "", TEXT(FILTRUJ!BW23, "DD.MM"))</f>
        <v>-</v>
      </c>
      <c r="C24" s="61">
        <f>FILTRUJ!BV23</f>
        <v>0</v>
      </c>
      <c r="D24" s="113">
        <f>FILTRUJ!BT23</f>
        <v>0</v>
      </c>
      <c r="E24" s="113">
        <f>FILTRUJ!BU23</f>
        <v>0</v>
      </c>
      <c r="F24" s="116">
        <f>FILTRUJ!BW23</f>
        <v>0</v>
      </c>
      <c r="G24" s="113">
        <f>FILTRUJ!BX23</f>
        <v>0</v>
      </c>
      <c r="H24" s="84"/>
      <c r="I24" s="62"/>
      <c r="J24" s="40"/>
      <c r="K24" s="101"/>
      <c r="L24" s="85" t="e">
        <f>(K24-P24-M24*40)/J24</f>
        <v>#DIV/0!</v>
      </c>
      <c r="M24" s="40"/>
      <c r="N24" s="40">
        <f>FILTRUJ!BY23</f>
        <v>0</v>
      </c>
      <c r="O24" s="86">
        <f>K24-0.55*J24-M24*40-P24</f>
        <v>0</v>
      </c>
      <c r="P24" s="40"/>
      <c r="Q24" s="40"/>
      <c r="R24" s="97"/>
      <c r="S24" s="98"/>
      <c r="T24" s="154"/>
      <c r="U24" s="102">
        <f>FILTRUJ!BZ23</f>
        <v>0</v>
      </c>
      <c r="V24" s="102">
        <f>FILTRUJ!CA23</f>
        <v>0</v>
      </c>
    </row>
    <row r="25" spans="1:22" ht="20.100000000000001" customHeight="1">
      <c r="A25" s="78"/>
      <c r="B25" s="79"/>
      <c r="C25" s="28"/>
      <c r="D25" s="80"/>
      <c r="E25" s="80"/>
      <c r="F25" s="81"/>
      <c r="G25" s="81"/>
      <c r="H25" s="82"/>
      <c r="I25" s="81"/>
      <c r="J25" s="81"/>
      <c r="K25" s="81"/>
      <c r="L25" s="42"/>
      <c r="M25" s="83"/>
      <c r="N25" s="31"/>
    </row>
    <row r="26" spans="1:22" ht="20.100000000000001" customHeight="1">
      <c r="A26" s="13"/>
      <c r="B26" s="11"/>
      <c r="C26" s="6"/>
      <c r="D26" s="7"/>
      <c r="E26" s="38"/>
      <c r="F26" s="44">
        <f>SUM(J3:J24)</f>
        <v>0</v>
      </c>
      <c r="G26" s="45" t="e">
        <f>SUM(#REF!)</f>
        <v>#REF!</v>
      </c>
      <c r="H26" s="46">
        <f>SUM(K3:K24)</f>
        <v>0</v>
      </c>
      <c r="I26" s="47" t="e">
        <f>AVERAGE(L5:L24)</f>
        <v>#DIV/0!</v>
      </c>
      <c r="J26" s="45">
        <f>SUM(M5:M24)</f>
        <v>0</v>
      </c>
      <c r="K26" s="48">
        <f>SUM(P5:P24)</f>
        <v>0</v>
      </c>
      <c r="L26" s="39"/>
      <c r="M26" s="12"/>
      <c r="N26" s="31"/>
    </row>
    <row r="27" spans="1:22" ht="20.100000000000001" customHeight="1">
      <c r="A27" s="13"/>
      <c r="B27" s="11"/>
      <c r="C27" s="6"/>
      <c r="D27" s="7"/>
      <c r="E27" s="7"/>
      <c r="F27" s="42"/>
      <c r="G27" s="42"/>
      <c r="H27" s="43"/>
      <c r="I27" s="42"/>
      <c r="J27" s="42"/>
      <c r="K27" s="42"/>
      <c r="L27" s="51">
        <f>SUM(Q2:Q24)</f>
        <v>0</v>
      </c>
      <c r="M27" s="12"/>
      <c r="N27" s="31"/>
    </row>
    <row r="28" spans="1:22" ht="20.100000000000001" customHeight="1">
      <c r="A28" s="13"/>
      <c r="B28" s="11"/>
      <c r="C28" s="6"/>
      <c r="D28" s="7"/>
      <c r="E28" s="7"/>
      <c r="F28" s="8"/>
      <c r="G28" s="8"/>
      <c r="H28" s="35"/>
      <c r="I28" s="8"/>
      <c r="J28" s="40"/>
      <c r="K28" s="50" t="s">
        <v>208</v>
      </c>
      <c r="L28" s="51" t="e">
        <f>H26-L27-SUM(P2:P21)-(40*SUM(M2:M21))-#REF!-#REF!</f>
        <v>#REF!</v>
      </c>
      <c r="M28" s="12"/>
      <c r="N28" s="31"/>
    </row>
    <row r="29" spans="1:22" ht="20.100000000000001" customHeight="1">
      <c r="A29" s="59"/>
      <c r="B29" s="60"/>
      <c r="C29" s="61"/>
      <c r="D29" s="62"/>
      <c r="E29" s="62"/>
      <c r="F29" s="40"/>
      <c r="G29" s="40"/>
      <c r="H29" s="41"/>
      <c r="I29" s="63"/>
      <c r="J29" s="77" t="s">
        <v>209</v>
      </c>
      <c r="K29" s="64"/>
      <c r="L29" s="40"/>
      <c r="M29" s="65"/>
      <c r="N29" s="31"/>
    </row>
    <row r="30" spans="1:22" s="76" customFormat="1" ht="20.100000000000001" customHeight="1">
      <c r="A30" s="66"/>
      <c r="B30" s="67"/>
      <c r="C30" s="68"/>
      <c r="D30" s="69"/>
      <c r="E30" s="69"/>
      <c r="F30" s="70"/>
      <c r="G30" s="70"/>
      <c r="H30" s="71"/>
      <c r="I30" s="72"/>
      <c r="J30" s="49" t="s">
        <v>210</v>
      </c>
      <c r="K30" s="73"/>
      <c r="L30" s="70"/>
      <c r="M30" s="74"/>
      <c r="N30" s="75"/>
    </row>
    <row r="31" spans="1:22" s="57" customFormat="1" ht="20.100000000000001" customHeight="1">
      <c r="A31" s="54"/>
      <c r="B31" s="55"/>
      <c r="C31" s="55"/>
      <c r="D31" s="53"/>
      <c r="E31" s="53"/>
      <c r="F31" s="56"/>
      <c r="G31" s="56"/>
      <c r="H31" s="56"/>
      <c r="I31" s="56"/>
      <c r="J31" s="56"/>
      <c r="K31" s="56"/>
      <c r="L31" s="56"/>
      <c r="M31" s="52"/>
      <c r="N31" s="52"/>
    </row>
    <row r="32" spans="1:22" s="57" customFormat="1" ht="20.100000000000001" customHeight="1">
      <c r="A32" s="54"/>
      <c r="B32" s="58"/>
      <c r="C32" s="55"/>
      <c r="D32" s="53"/>
      <c r="E32" s="53"/>
      <c r="F32" s="56"/>
      <c r="G32" s="56"/>
      <c r="H32" s="56"/>
      <c r="I32" s="56"/>
      <c r="J32" s="56"/>
      <c r="K32" s="56"/>
      <c r="L32" s="56"/>
      <c r="M32" s="52"/>
      <c r="N32" s="52"/>
    </row>
    <row r="33" spans="1:14" s="57" customFormat="1" ht="20.100000000000001" customHeight="1">
      <c r="A33" s="54"/>
      <c r="B33" s="55"/>
      <c r="C33" s="55"/>
      <c r="D33" s="53"/>
      <c r="E33" s="53"/>
      <c r="F33" s="56"/>
      <c r="G33" s="56"/>
      <c r="H33" s="56"/>
      <c r="I33" s="56"/>
      <c r="J33" s="55"/>
      <c r="K33" s="56"/>
      <c r="L33" s="56"/>
      <c r="M33" s="52"/>
      <c r="N33" s="52"/>
    </row>
    <row r="34" spans="1:14" s="57" customFormat="1" ht="20.100000000000001" customHeight="1">
      <c r="A34" s="54"/>
      <c r="B34" s="55"/>
      <c r="C34" s="55"/>
      <c r="D34" s="53"/>
      <c r="E34" s="53"/>
      <c r="F34" s="56"/>
      <c r="G34" s="56"/>
      <c r="H34" s="56"/>
      <c r="I34" s="56"/>
      <c r="J34" s="56"/>
      <c r="K34" s="56"/>
      <c r="L34" s="56"/>
      <c r="M34" s="52"/>
      <c r="N34" s="52"/>
    </row>
    <row r="35" spans="1:14" s="57" customFormat="1" ht="20.100000000000001" customHeight="1">
      <c r="A35" s="54"/>
      <c r="B35" s="55"/>
      <c r="C35" s="55"/>
      <c r="D35" s="53"/>
      <c r="E35" s="53"/>
      <c r="F35" s="56"/>
      <c r="G35" s="56"/>
      <c r="H35" s="56"/>
      <c r="I35" s="56"/>
      <c r="J35" s="56"/>
      <c r="K35" s="56"/>
      <c r="L35" s="56"/>
      <c r="M35" s="52"/>
      <c r="N35" s="52"/>
    </row>
    <row r="36" spans="1:14" s="57" customFormat="1" ht="20.100000000000001" customHeight="1">
      <c r="A36" s="54"/>
      <c r="B36" s="55"/>
      <c r="C36" s="55"/>
      <c r="D36" s="53"/>
      <c r="E36" s="53"/>
      <c r="F36" s="56"/>
      <c r="G36" s="56"/>
      <c r="H36" s="56"/>
      <c r="I36" s="56"/>
      <c r="J36" s="56"/>
      <c r="K36" s="56"/>
      <c r="L36" s="56"/>
      <c r="M36" s="52"/>
      <c r="N36" s="52"/>
    </row>
    <row r="37" spans="1:14" s="57" customFormat="1" ht="20.100000000000001" customHeight="1">
      <c r="A37" s="54"/>
      <c r="B37" s="55"/>
      <c r="C37" s="55"/>
      <c r="D37" s="53"/>
      <c r="E37" s="53"/>
      <c r="F37" s="56"/>
      <c r="G37" s="56"/>
      <c r="H37" s="56"/>
      <c r="I37" s="56"/>
      <c r="J37" s="56"/>
      <c r="K37" s="56"/>
      <c r="L37" s="56"/>
      <c r="M37" s="52"/>
      <c r="N37" s="52"/>
    </row>
    <row r="38" spans="1:14" s="57" customFormat="1" ht="20.100000000000001" customHeight="1">
      <c r="A38" s="54"/>
      <c r="B38" s="55"/>
      <c r="C38" s="55"/>
      <c r="D38" s="53"/>
      <c r="E38" s="53"/>
      <c r="F38" s="56"/>
      <c r="G38" s="55"/>
      <c r="H38" s="55"/>
      <c r="I38" s="55"/>
      <c r="J38" s="56"/>
      <c r="K38" s="55"/>
      <c r="L38" s="56"/>
      <c r="M38" s="52"/>
      <c r="N38" s="52"/>
    </row>
    <row r="39" spans="1:14" s="57" customFormat="1" ht="20.100000000000001" customHeight="1">
      <c r="A39" s="54"/>
      <c r="B39" s="55"/>
      <c r="C39" s="55"/>
      <c r="D39" s="53"/>
      <c r="E39" s="53"/>
      <c r="F39" s="56"/>
      <c r="G39" s="55"/>
      <c r="H39" s="55"/>
      <c r="I39" s="55"/>
      <c r="J39" s="56"/>
      <c r="K39" s="55"/>
      <c r="L39" s="56"/>
      <c r="M39" s="52"/>
      <c r="N39" s="52"/>
    </row>
    <row r="40" spans="1:14" s="57" customFormat="1" ht="20.100000000000001" customHeight="1">
      <c r="A40" s="54"/>
      <c r="B40" s="55"/>
      <c r="C40" s="55"/>
      <c r="D40" s="53"/>
      <c r="E40" s="53"/>
      <c r="F40" s="56"/>
      <c r="G40" s="55"/>
      <c r="H40" s="55"/>
      <c r="I40" s="55"/>
      <c r="J40" s="55"/>
      <c r="K40" s="55"/>
      <c r="L40" s="55"/>
      <c r="M40" s="53"/>
      <c r="N40" s="53"/>
    </row>
    <row r="41" spans="1:14" s="57" customFormat="1" ht="20.100000000000001" customHeight="1">
      <c r="A41" s="54"/>
      <c r="B41" s="55"/>
      <c r="C41" s="55"/>
      <c r="D41" s="53"/>
      <c r="E41" s="53"/>
      <c r="F41" s="56"/>
      <c r="G41" s="55"/>
      <c r="H41" s="55"/>
      <c r="I41" s="55"/>
      <c r="J41" s="55"/>
      <c r="K41" s="55"/>
      <c r="L41" s="55"/>
      <c r="M41" s="53"/>
      <c r="N41" s="53"/>
    </row>
    <row r="42" spans="1:14" s="57" customFormat="1" ht="20.100000000000001" customHeight="1">
      <c r="A42" s="54"/>
      <c r="B42" s="55"/>
      <c r="C42" s="55"/>
      <c r="D42" s="53"/>
      <c r="E42" s="53"/>
      <c r="F42" s="56"/>
      <c r="G42" s="55"/>
      <c r="H42" s="55"/>
      <c r="I42" s="55"/>
      <c r="J42" s="55"/>
      <c r="K42" s="55"/>
      <c r="L42" s="56"/>
      <c r="M42" s="52"/>
      <c r="N42" s="52"/>
    </row>
    <row r="43" spans="1:14" s="57" customFormat="1" ht="20.100000000000001" customHeight="1">
      <c r="A43" s="54"/>
      <c r="B43" s="55"/>
      <c r="C43" s="55"/>
      <c r="D43" s="53"/>
      <c r="E43" s="53"/>
      <c r="F43" s="56"/>
      <c r="G43" s="55"/>
      <c r="H43" s="55"/>
      <c r="I43" s="55"/>
      <c r="J43" s="55"/>
      <c r="K43" s="55"/>
      <c r="L43" s="56"/>
      <c r="M43" s="52"/>
      <c r="N43" s="52"/>
    </row>
    <row r="44" spans="1:14" s="57" customFormat="1" ht="20.100000000000001" customHeight="1">
      <c r="A44" s="54"/>
      <c r="B44" s="55"/>
      <c r="C44" s="55"/>
      <c r="D44" s="53"/>
      <c r="E44" s="53"/>
      <c r="F44" s="56"/>
      <c r="G44" s="55"/>
      <c r="H44" s="55"/>
      <c r="I44" s="55"/>
      <c r="J44" s="55"/>
      <c r="K44" s="55"/>
      <c r="L44" s="55"/>
      <c r="M44" s="53"/>
      <c r="N44" s="53"/>
    </row>
    <row r="45" spans="1:14" s="57" customFormat="1" ht="20.100000000000001" customHeight="1">
      <c r="A45" s="54"/>
      <c r="B45" s="55"/>
      <c r="C45" s="55"/>
      <c r="D45" s="53"/>
      <c r="E45" s="53"/>
      <c r="F45" s="56"/>
      <c r="G45" s="55"/>
      <c r="H45" s="55"/>
      <c r="I45" s="55"/>
      <c r="J45" s="55"/>
      <c r="K45" s="55"/>
      <c r="L45" s="55"/>
      <c r="M45" s="53"/>
      <c r="N45" s="53"/>
    </row>
    <row r="46" spans="1:14" s="57" customFormat="1" ht="20.100000000000001" customHeight="1">
      <c r="A46" s="54"/>
      <c r="B46" s="55"/>
      <c r="C46" s="55"/>
      <c r="D46" s="53"/>
      <c r="E46" s="53"/>
      <c r="F46" s="56"/>
      <c r="G46" s="55"/>
      <c r="H46" s="55"/>
      <c r="I46" s="55"/>
      <c r="J46" s="55"/>
      <c r="K46" s="55"/>
      <c r="L46" s="55"/>
      <c r="M46" s="53"/>
      <c r="N46" s="53"/>
    </row>
    <row r="47" spans="1:14" s="57" customFormat="1" ht="20.100000000000001" customHeight="1">
      <c r="A47" s="54"/>
      <c r="B47" s="55"/>
      <c r="C47" s="55"/>
      <c r="D47" s="53"/>
      <c r="E47" s="53"/>
      <c r="F47" s="56"/>
      <c r="G47" s="55"/>
      <c r="H47" s="55"/>
      <c r="I47" s="55"/>
      <c r="J47" s="55"/>
      <c r="K47" s="55"/>
      <c r="L47" s="55"/>
      <c r="M47" s="53"/>
      <c r="N47" s="53"/>
    </row>
    <row r="48" spans="1:14" s="57" customFormat="1" ht="20.100000000000001" customHeight="1">
      <c r="A48" s="54"/>
      <c r="B48" s="55"/>
      <c r="C48" s="55"/>
      <c r="D48" s="53"/>
      <c r="E48" s="53"/>
      <c r="F48" s="56"/>
      <c r="G48" s="55"/>
      <c r="H48" s="55"/>
      <c r="I48" s="55"/>
      <c r="J48" s="55"/>
      <c r="K48" s="55"/>
      <c r="L48" s="55"/>
      <c r="M48" s="53"/>
      <c r="N48" s="53"/>
    </row>
    <row r="49" spans="1:14" s="57" customFormat="1" ht="20.100000000000001" customHeight="1">
      <c r="A49" s="54"/>
      <c r="B49" s="55"/>
      <c r="C49" s="55"/>
      <c r="D49" s="53"/>
      <c r="E49" s="53"/>
      <c r="F49" s="56"/>
      <c r="G49" s="55"/>
      <c r="H49" s="55"/>
      <c r="I49" s="55"/>
      <c r="J49" s="55"/>
      <c r="K49" s="55"/>
      <c r="L49" s="55"/>
      <c r="M49" s="53"/>
      <c r="N49" s="53"/>
    </row>
    <row r="50" spans="1:14" s="57" customFormat="1" ht="20.100000000000001" customHeight="1">
      <c r="A50" s="54"/>
      <c r="B50" s="55"/>
      <c r="C50" s="55"/>
      <c r="D50" s="53"/>
      <c r="E50" s="53"/>
      <c r="F50" s="56"/>
      <c r="G50" s="55"/>
      <c r="H50" s="55"/>
      <c r="I50" s="55"/>
      <c r="J50" s="55"/>
      <c r="K50" s="55"/>
      <c r="L50" s="55"/>
      <c r="M50" s="53"/>
      <c r="N50" s="53"/>
    </row>
    <row r="51" spans="1:14" s="57" customFormat="1" ht="19.899999999999999" customHeight="1"/>
    <row r="52" spans="1:14" s="57" customFormat="1" ht="19.899999999999999" customHeight="1"/>
  </sheetData>
  <mergeCells count="1">
    <mergeCell ref="A1:M1"/>
  </mergeCells>
  <pageMargins left="1" right="1" top="1" bottom="1" header="0.25" footer="0.25"/>
  <pageSetup orientation="portrait"/>
  <headerFooter>
    <oddFooter>&amp;C&amp;"Helvetica Neue,Regular"&amp;12&amp;K000000&amp;P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DODAJ_DO_ZAFAKTUROWANIA">
          <controlPr defaultSize="0" autoLine="0" r:id="rId4">
            <anchor moveWithCells="1">
              <from>
                <xdr:col>8</xdr:col>
                <xdr:colOff>552450</xdr:colOff>
                <xdr:row>0</xdr:row>
                <xdr:rowOff>76200</xdr:rowOff>
              </from>
              <to>
                <xdr:col>10</xdr:col>
                <xdr:colOff>1019175</xdr:colOff>
                <xdr:row>0</xdr:row>
                <xdr:rowOff>495300</xdr:rowOff>
              </to>
            </anchor>
          </controlPr>
        </control>
      </mc:Choice>
      <mc:Fallback>
        <control shapeId="4097" r:id="rId3" name="DODAJ_DO_ZAFAKTUROWANIA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CSV PINK ACOUNTING</vt:lpstr>
      <vt:lpstr>LISTA TRASEK</vt:lpstr>
      <vt:lpstr>FILTRUJ</vt:lpstr>
      <vt:lpstr>FZ0296S -PAVLO LAIUK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Oliwia Paczkowska</dc:creator>
  <cp:keywords/>
  <dc:description/>
  <cp:lastModifiedBy>Oliwia Paczkowska</cp:lastModifiedBy>
  <cp:revision/>
  <dcterms:created xsi:type="dcterms:W3CDTF">2024-12-06T14:00:09Z</dcterms:created>
  <dcterms:modified xsi:type="dcterms:W3CDTF">2025-02-13T10:17:56Z</dcterms:modified>
  <cp:category/>
  <cp:contentStatus/>
</cp:coreProperties>
</file>